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as com dados" sheetId="1" state="visible" r:id="rId2"/>
    <sheet name="% aproveitamento mens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<sst xmlns="http://schemas.openxmlformats.org/spreadsheetml/2006/main" count="29" uniqueCount="17">
  <si>
    <t xml:space="preserve">Ano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</si>
  <si>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</si>
  <si>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</si>
  <si>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</si>
  <si>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</si>
  <si>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</si>
  <si>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</si>
  <si>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</si>
  <si>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</si>
  <si>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</si>
  <si>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</si>
  <si>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</si>
  <si>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</si>
  <si>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Dec</t>
  </si>
  <si>
    <t xml:space="preserve">Média simples</t>
  </si>
  <si>
    <t xml:space="preserve">Média</t>
  </si>
  <si>
    <t xml:space="preserve">Dias totais (mês)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</si>
</sst>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420E"/>
      <rgbColor rgb="FF00FF00"/>
      <rgbColor rgb="FF0000FF"/>
      <rgbColor rgb="FFFFD320"/>
      <rgbColor rgb="FFFF00FF"/>
      <rgbColor rgb="FF00FFFF"/>
      <rgbColor rgb="FF800000"/>
      <rgbColor rgb="FF43682B"/>
      <rgbColor rgb="FF000080"/>
      <rgbColor rgb="FF997300"/>
      <rgbColor rgb="FF800080"/>
      <rgbColor rgb="FF008080"/>
      <rgbColor rgb="FFB3B3B3"/>
      <rgbColor rgb="FF808080"/>
      <rgbColor rgb="FF5B9BD5"/>
      <rgbColor rgb="FF993366"/>
      <rgbColor rgb="FFFFFFCC"/>
      <rgbColor rgb="FFCCFFFF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36363"/>
      <rgbColor rgb="FFA5A5A5"/>
      <rgbColor rgb="FF004586"/>
      <rgbColor rgb="FF70AD47"/>
      <rgbColor rgb="FF003300"/>
      <rgbColor rgb="FF333300"/>
      <rgbColor rgb="FF9E480E"/>
      <rgbColor rgb="FF993366"/>
      <rgbColor rgb="FF2644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Total de dias com observações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'Dias com dados'!$B$1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dados'!$B$2:$B$23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5</c:v>
                </c:pt>
                <c:pt idx="5">
                  <c:v>27</c:v>
                </c:pt>
                <c:pt idx="6">
                  <c:v>23</c:v>
                </c:pt>
                <c:pt idx="7">
                  <c:v>0</c:v>
                </c:pt>
                <c:pt idx="8">
                  <c:v>29</c:v>
                </c:pt>
                <c:pt idx="9">
                  <c:v>28</c:v>
                </c:pt>
                <c:pt idx="10">
                  <c:v>26</c:v>
                </c:pt>
                <c:pt idx="11">
                  <c:v>30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30</c:v>
                </c:pt>
                <c:pt idx="16">
                  <c:v>28</c:v>
                </c:pt>
                <c:pt idx="17">
                  <c:v>30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9</c:v>
                </c:pt>
              </c:numCache>
            </c:numRef>
          </c:val>
        </c:ser>
        <c:ser>
          <c:idx val="1"/>
          <c:order val="1"/>
          <c:tx>
            <c:strRef>
              <c:f>'Dias com dados'!$C$1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dados'!$C$2:$C$23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29</c:v>
                </c:pt>
                <c:pt idx="6">
                  <c:v>27</c:v>
                </c:pt>
                <c:pt idx="7">
                  <c:v>0</c:v>
                </c:pt>
                <c:pt idx="8">
                  <c:v>27</c:v>
                </c:pt>
                <c:pt idx="9">
                  <c:v>24</c:v>
                </c:pt>
                <c:pt idx="10">
                  <c:v>17</c:v>
                </c:pt>
                <c:pt idx="11">
                  <c:v>26</c:v>
                </c:pt>
                <c:pt idx="12">
                  <c:v>28</c:v>
                </c:pt>
                <c:pt idx="13">
                  <c:v>29</c:v>
                </c:pt>
                <c:pt idx="14">
                  <c:v>28</c:v>
                </c:pt>
                <c:pt idx="15">
                  <c:v>28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</c:v>
                </c:pt>
              </c:numCache>
            </c:numRef>
          </c:val>
        </c:ser>
        <c:ser>
          <c:idx val="2"/>
          <c:order val="2"/>
          <c:tx>
            <c:strRef>
              <c:f>'Dias com dados'!$D$1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dados'!$D$2:$D$23</c:f>
              <c:numCache>
                <c:formatCode>General</c:formatCode>
                <c:ptCount val="22"/>
                <c:pt idx="0">
                  <c:v>0</c:v>
                </c:pt>
                <c:pt idx="1">
                  <c:v>3</c:v>
                </c:pt>
                <c:pt idx="2">
                  <c:v>14</c:v>
                </c:pt>
                <c:pt idx="3">
                  <c:v>0</c:v>
                </c:pt>
                <c:pt idx="4">
                  <c:v>17</c:v>
                </c:pt>
                <c:pt idx="5">
                  <c:v>29</c:v>
                </c:pt>
                <c:pt idx="6">
                  <c:v>30</c:v>
                </c:pt>
                <c:pt idx="7">
                  <c:v>0</c:v>
                </c:pt>
                <c:pt idx="8">
                  <c:v>31</c:v>
                </c:pt>
                <c:pt idx="9">
                  <c:v>2</c:v>
                </c:pt>
                <c:pt idx="10">
                  <c:v>25</c:v>
                </c:pt>
                <c:pt idx="11">
                  <c:v>29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23</c:v>
                </c:pt>
                <c:pt idx="17">
                  <c:v>14</c:v>
                </c:pt>
                <c:pt idx="18">
                  <c:v>0</c:v>
                </c:pt>
                <c:pt idx="19">
                  <c:v>18</c:v>
                </c:pt>
                <c:pt idx="20">
                  <c:v>17</c:v>
                </c:pt>
                <c:pt idx="21">
                  <c:v>19</c:v>
                </c:pt>
              </c:numCache>
            </c:numRef>
          </c:val>
        </c:ser>
        <c:ser>
          <c:idx val="3"/>
          <c:order val="3"/>
          <c:tx>
            <c:strRef>
              <c:f>'Dias com dados'!$E$1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dados'!$E$2:$E$23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28</c:v>
                </c:pt>
                <c:pt idx="6">
                  <c:v>30</c:v>
                </c:pt>
                <c:pt idx="7">
                  <c:v>0</c:v>
                </c:pt>
                <c:pt idx="8">
                  <c:v>22</c:v>
                </c:pt>
                <c:pt idx="9">
                  <c:v>0</c:v>
                </c:pt>
                <c:pt idx="10">
                  <c:v>22</c:v>
                </c:pt>
                <c:pt idx="11">
                  <c:v>29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15</c:v>
                </c:pt>
                <c:pt idx="17">
                  <c:v>21</c:v>
                </c:pt>
                <c:pt idx="18">
                  <c:v>0</c:v>
                </c:pt>
                <c:pt idx="19">
                  <c:v>30</c:v>
                </c:pt>
                <c:pt idx="20">
                  <c:v>29</c:v>
                </c:pt>
                <c:pt idx="21">
                  <c:v>0</c:v>
                </c:pt>
              </c:numCache>
            </c:numRef>
          </c:val>
        </c:ser>
        <c:ser>
          <c:idx val="4"/>
          <c:order val="4"/>
          <c:tx>
            <c:strRef>
              <c:f>'Dias com dados'!$F$1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dados'!$F$2:$F$23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12</c:v>
                </c:pt>
                <c:pt idx="5">
                  <c:v>31</c:v>
                </c:pt>
                <c:pt idx="6">
                  <c:v>29</c:v>
                </c:pt>
                <c:pt idx="7">
                  <c:v>0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28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30</c:v>
                </c:pt>
                <c:pt idx="20">
                  <c:v>29</c:v>
                </c:pt>
                <c:pt idx="21">
                  <c:v>0</c:v>
                </c:pt>
              </c:numCache>
            </c:numRef>
          </c:val>
        </c:ser>
        <c:ser>
          <c:idx val="5"/>
          <c:order val="5"/>
          <c:tx>
            <c:strRef>
              <c:f>'Dias com dados'!$G$1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dados'!$G$2:$G$23</c:f>
              <c:numCache>
                <c:formatCode>General</c:formatCode>
                <c:ptCount val="2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29</c:v>
                </c:pt>
                <c:pt idx="5">
                  <c:v>30</c:v>
                </c:pt>
                <c:pt idx="6">
                  <c:v>28</c:v>
                </c:pt>
                <c:pt idx="7">
                  <c:v>17</c:v>
                </c:pt>
                <c:pt idx="8">
                  <c:v>26</c:v>
                </c:pt>
                <c:pt idx="9">
                  <c:v>0</c:v>
                </c:pt>
                <c:pt idx="10">
                  <c:v>18</c:v>
                </c:pt>
                <c:pt idx="11">
                  <c:v>30</c:v>
                </c:pt>
                <c:pt idx="12">
                  <c:v>27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28</c:v>
                </c:pt>
                <c:pt idx="17">
                  <c:v>0</c:v>
                </c:pt>
                <c:pt idx="18">
                  <c:v>19</c:v>
                </c:pt>
                <c:pt idx="19">
                  <c:v>30</c:v>
                </c:pt>
                <c:pt idx="20">
                  <c:v>30</c:v>
                </c:pt>
                <c:pt idx="21">
                  <c:v>0</c:v>
                </c:pt>
              </c:numCache>
            </c:numRef>
          </c:val>
        </c:ser>
        <c:ser>
          <c:idx val="6"/>
          <c:order val="6"/>
          <c:tx>
            <c:strRef>
              <c:f>'Dias com dados'!$H$1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264478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dados'!$H$2:$H$23</c:f>
              <c:numCache>
                <c:formatCode>General</c:formatCode>
                <c:ptCount val="22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30</c:v>
                </c:pt>
                <c:pt idx="4">
                  <c:v>28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23</c:v>
                </c:pt>
                <c:pt idx="9">
                  <c:v>0</c:v>
                </c:pt>
                <c:pt idx="10">
                  <c:v>25</c:v>
                </c:pt>
                <c:pt idx="11">
                  <c:v>28</c:v>
                </c:pt>
                <c:pt idx="12">
                  <c:v>30</c:v>
                </c:pt>
                <c:pt idx="13">
                  <c:v>30</c:v>
                </c:pt>
                <c:pt idx="14">
                  <c:v>31</c:v>
                </c:pt>
                <c:pt idx="15">
                  <c:v>31</c:v>
                </c:pt>
                <c:pt idx="16">
                  <c:v>22</c:v>
                </c:pt>
                <c:pt idx="17">
                  <c:v>2</c:v>
                </c:pt>
                <c:pt idx="18">
                  <c:v>19</c:v>
                </c:pt>
                <c:pt idx="19">
                  <c:v>31</c:v>
                </c:pt>
                <c:pt idx="20">
                  <c:v>31</c:v>
                </c:pt>
                <c:pt idx="21">
                  <c:v>0</c:v>
                </c:pt>
              </c:numCache>
            </c:numRef>
          </c:val>
        </c:ser>
        <c:ser>
          <c:idx val="7"/>
          <c:order val="7"/>
          <c:tx>
            <c:strRef>
              <c:f>'Dias com dados'!$I$1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rgbClr val="9e48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dados'!$I$2:$I$23</c:f>
              <c:numCache>
                <c:formatCode>General</c:formatCode>
                <c:ptCount val="22"/>
                <c:pt idx="0">
                  <c:v>0</c:v>
                </c:pt>
                <c:pt idx="1">
                  <c:v>6</c:v>
                </c:pt>
                <c:pt idx="2">
                  <c:v>20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1</c:v>
                </c:pt>
                <c:pt idx="7">
                  <c:v>4</c:v>
                </c:pt>
                <c:pt idx="8">
                  <c:v>29</c:v>
                </c:pt>
                <c:pt idx="9">
                  <c:v>0</c:v>
                </c:pt>
                <c:pt idx="10">
                  <c:v>14</c:v>
                </c:pt>
                <c:pt idx="11">
                  <c:v>22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29</c:v>
                </c:pt>
                <c:pt idx="16">
                  <c:v>27</c:v>
                </c:pt>
                <c:pt idx="17">
                  <c:v>7</c:v>
                </c:pt>
                <c:pt idx="18">
                  <c:v>28</c:v>
                </c:pt>
                <c:pt idx="19">
                  <c:v>30</c:v>
                </c:pt>
                <c:pt idx="20">
                  <c:v>31</c:v>
                </c:pt>
                <c:pt idx="21">
                  <c:v>0</c:v>
                </c:pt>
              </c:numCache>
            </c:numRef>
          </c:val>
        </c:ser>
        <c:ser>
          <c:idx val="8"/>
          <c:order val="8"/>
          <c:tx>
            <c:strRef>
              <c:f>'Dias com dados'!$J$1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rgbClr val="636363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dados'!$J$2:$J$23</c:f>
              <c:numCache>
                <c:formatCode>General</c:formatCode>
                <c:ptCount val="22"/>
                <c:pt idx="0">
                  <c:v>4</c:v>
                </c:pt>
                <c:pt idx="1">
                  <c:v>0</c:v>
                </c:pt>
                <c:pt idx="2">
                  <c:v>15</c:v>
                </c:pt>
                <c:pt idx="3">
                  <c:v>1</c:v>
                </c:pt>
                <c:pt idx="4">
                  <c:v>30</c:v>
                </c:pt>
                <c:pt idx="5">
                  <c:v>30</c:v>
                </c:pt>
                <c:pt idx="6">
                  <c:v>0</c:v>
                </c:pt>
                <c:pt idx="7">
                  <c:v>15</c:v>
                </c:pt>
                <c:pt idx="8">
                  <c:v>9</c:v>
                </c:pt>
                <c:pt idx="9">
                  <c:v>0</c:v>
                </c:pt>
                <c:pt idx="10">
                  <c:v>12</c:v>
                </c:pt>
                <c:pt idx="11">
                  <c:v>19</c:v>
                </c:pt>
                <c:pt idx="12">
                  <c:v>30</c:v>
                </c:pt>
                <c:pt idx="13">
                  <c:v>27</c:v>
                </c:pt>
                <c:pt idx="14">
                  <c:v>30</c:v>
                </c:pt>
                <c:pt idx="15">
                  <c:v>27</c:v>
                </c:pt>
                <c:pt idx="16">
                  <c:v>29</c:v>
                </c:pt>
                <c:pt idx="17">
                  <c:v>0</c:v>
                </c:pt>
                <c:pt idx="18">
                  <c:v>28</c:v>
                </c:pt>
                <c:pt idx="19">
                  <c:v>22</c:v>
                </c:pt>
                <c:pt idx="20">
                  <c:v>30</c:v>
                </c:pt>
                <c:pt idx="21">
                  <c:v>0</c:v>
                </c:pt>
              </c:numCache>
            </c:numRef>
          </c:val>
        </c:ser>
        <c:ser>
          <c:idx val="9"/>
          <c:order val="9"/>
          <c:tx>
            <c:strRef>
              <c:f>'Dias com dados'!$K$1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99730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dados'!$K$2:$K$23</c:f>
              <c:numCache>
                <c:formatCode>General</c:formatCode>
                <c:ptCount val="22"/>
                <c:pt idx="0">
                  <c:v>0</c:v>
                </c:pt>
                <c:pt idx="1">
                  <c:v>14</c:v>
                </c:pt>
                <c:pt idx="2">
                  <c:v>3</c:v>
                </c:pt>
                <c:pt idx="3">
                  <c:v>18</c:v>
                </c:pt>
                <c:pt idx="4">
                  <c:v>31</c:v>
                </c:pt>
                <c:pt idx="5">
                  <c:v>31</c:v>
                </c:pt>
                <c:pt idx="6">
                  <c:v>0</c:v>
                </c:pt>
                <c:pt idx="7">
                  <c:v>24</c:v>
                </c:pt>
                <c:pt idx="8">
                  <c:v>11</c:v>
                </c:pt>
                <c:pt idx="9">
                  <c:v>0</c:v>
                </c:pt>
                <c:pt idx="10">
                  <c:v>28</c:v>
                </c:pt>
                <c:pt idx="11">
                  <c:v>31</c:v>
                </c:pt>
                <c:pt idx="12">
                  <c:v>29</c:v>
                </c:pt>
                <c:pt idx="13">
                  <c:v>31</c:v>
                </c:pt>
                <c:pt idx="14">
                  <c:v>31</c:v>
                </c:pt>
                <c:pt idx="15">
                  <c:v>26</c:v>
                </c:pt>
                <c:pt idx="16">
                  <c:v>31</c:v>
                </c:pt>
                <c:pt idx="17">
                  <c:v>15</c:v>
                </c:pt>
                <c:pt idx="18">
                  <c:v>31</c:v>
                </c:pt>
                <c:pt idx="19">
                  <c:v>31</c:v>
                </c:pt>
                <c:pt idx="20">
                  <c:v>29</c:v>
                </c:pt>
                <c:pt idx="21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'Dias com dados'!$L$1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255e91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dados'!$L$2:$L$23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26</c:v>
                </c:pt>
                <c:pt idx="5">
                  <c:v>30</c:v>
                </c:pt>
                <c:pt idx="6">
                  <c:v>0</c:v>
                </c:pt>
                <c:pt idx="7">
                  <c:v>25</c:v>
                </c:pt>
                <c:pt idx="8">
                  <c:v>11</c:v>
                </c:pt>
                <c:pt idx="9">
                  <c:v>16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27</c:v>
                </c:pt>
                <c:pt idx="16">
                  <c:v>29</c:v>
                </c:pt>
                <c:pt idx="17">
                  <c:v>21</c:v>
                </c:pt>
                <c:pt idx="18">
                  <c:v>30</c:v>
                </c:pt>
                <c:pt idx="19">
                  <c:v>27</c:v>
                </c:pt>
                <c:pt idx="20">
                  <c:v>30</c:v>
                </c:pt>
                <c:pt idx="21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'Dias com dados'!$M$1</c:f>
              <c:strCache>
                <c:ptCount val="1"/>
                <c:pt idx="0">
                  <c:v>Dez</c:v>
                </c:pt>
              </c:strCache>
            </c:strRef>
          </c:tx>
          <c:spPr>
            <a:solidFill>
              <a:srgbClr val="43682b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'Dias com dados'!$A$2:$A$23</c:f>
              <c:strCach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strCache>
            </c:strRef>
          </c:cat>
          <c:val>
            <c:numRef>
              <c:f>'Dias com dados'!$M$2:$M$23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27</c:v>
                </c:pt>
                <c:pt idx="5">
                  <c:v>25</c:v>
                </c:pt>
                <c:pt idx="6">
                  <c:v>0</c:v>
                </c:pt>
                <c:pt idx="7">
                  <c:v>27</c:v>
                </c:pt>
                <c:pt idx="8">
                  <c:v>27</c:v>
                </c:pt>
                <c:pt idx="9">
                  <c:v>24</c:v>
                </c:pt>
                <c:pt idx="10">
                  <c:v>30</c:v>
                </c:pt>
                <c:pt idx="11">
                  <c:v>23</c:v>
                </c:pt>
                <c:pt idx="12">
                  <c:v>18</c:v>
                </c:pt>
                <c:pt idx="13">
                  <c:v>31</c:v>
                </c:pt>
                <c:pt idx="14">
                  <c:v>23</c:v>
                </c:pt>
                <c:pt idx="15">
                  <c:v>22</c:v>
                </c:pt>
                <c:pt idx="16">
                  <c:v>31</c:v>
                </c:pt>
                <c:pt idx="17">
                  <c:v>7</c:v>
                </c:pt>
                <c:pt idx="18">
                  <c:v>2</c:v>
                </c:pt>
                <c:pt idx="19">
                  <c:v>23</c:v>
                </c:pt>
                <c:pt idx="20">
                  <c:v>26</c:v>
                </c:pt>
                <c:pt idx="21">
                  <c:v>0</c:v>
                </c:pt>
              </c:numCache>
            </c:numRef>
          </c:val>
        </c:ser>
        <c:gapWidth val="150"/>
        <c:overlap val="100"/>
        <c:axId val="60046981"/>
        <c:axId val="37160593"/>
      </c:barChart>
      <c:catAx>
        <c:axId val="60046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160593"/>
        <c:crosses val="autoZero"/>
        <c:auto val="1"/>
        <c:lblAlgn val="ctr"/>
        <c:lblOffset val="100"/>
        <c:noMultiLvlLbl val="0"/>
      </c:catAx>
      <c:valAx>
        <c:axId val="371605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04698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Aproveitamento SST
1o trimestre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'% aproveitamento mensal'!$B$1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mensal'!$B$2:$B$22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0.354838709677419</c:v>
                </c:pt>
                <c:pt idx="4">
                  <c:v>0.161290322580645</c:v>
                </c:pt>
                <c:pt idx="5">
                  <c:v>0.870967741935484</c:v>
                </c:pt>
                <c:pt idx="6">
                  <c:v>0.741935483870968</c:v>
                </c:pt>
                <c:pt idx="7">
                  <c:v>0</c:v>
                </c:pt>
                <c:pt idx="8">
                  <c:v>0.935483870967742</c:v>
                </c:pt>
                <c:pt idx="9">
                  <c:v>0.903225806451613</c:v>
                </c:pt>
                <c:pt idx="10">
                  <c:v>0.838709677419355</c:v>
                </c:pt>
                <c:pt idx="11">
                  <c:v>0.967741935483871</c:v>
                </c:pt>
                <c:pt idx="12">
                  <c:v>0.870967741935484</c:v>
                </c:pt>
                <c:pt idx="13">
                  <c:v>0.935483870967742</c:v>
                </c:pt>
                <c:pt idx="14">
                  <c:v>1</c:v>
                </c:pt>
                <c:pt idx="15">
                  <c:v>0.967741935483871</c:v>
                </c:pt>
                <c:pt idx="16">
                  <c:v>0.903225806451613</c:v>
                </c:pt>
                <c:pt idx="17">
                  <c:v>0.967741935483871</c:v>
                </c:pt>
                <c:pt idx="18">
                  <c:v>0</c:v>
                </c:pt>
                <c:pt idx="19">
                  <c:v>0</c:v>
                </c:pt>
                <c:pt idx="20">
                  <c:v>0.483870967741936</c:v>
                </c:pt>
              </c:numCache>
            </c:numRef>
          </c:val>
        </c:ser>
        <c:ser>
          <c:idx val="1"/>
          <c:order val="1"/>
          <c:tx>
            <c:strRef>
              <c:f>'% aproveitamento mensal'!$C$1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mensal'!$C$2:$C$22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0.321428571428571</c:v>
                </c:pt>
                <c:pt idx="4">
                  <c:v>0</c:v>
                </c:pt>
                <c:pt idx="5">
                  <c:v>1</c:v>
                </c:pt>
                <c:pt idx="6">
                  <c:v>0.964285714285714</c:v>
                </c:pt>
                <c:pt idx="7">
                  <c:v>0</c:v>
                </c:pt>
                <c:pt idx="8">
                  <c:v>0.964285714285714</c:v>
                </c:pt>
                <c:pt idx="9">
                  <c:v>0.857142857142857</c:v>
                </c:pt>
                <c:pt idx="10">
                  <c:v>0.607142857142857</c:v>
                </c:pt>
                <c:pt idx="11">
                  <c:v>0.928571428571429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0.178571428571429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'% aproveitamento mensal'!$D$1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mensal'!$D$2:$D$22</c:f>
              <c:numCache>
                <c:formatCode>General</c:formatCode>
                <c:ptCount val="21"/>
                <c:pt idx="0">
                  <c:v>0</c:v>
                </c:pt>
                <c:pt idx="1">
                  <c:v>0.0967741935483871</c:v>
                </c:pt>
                <c:pt idx="2">
                  <c:v>0.451612903225806</c:v>
                </c:pt>
                <c:pt idx="3">
                  <c:v>0</c:v>
                </c:pt>
                <c:pt idx="4">
                  <c:v>0.548387096774194</c:v>
                </c:pt>
                <c:pt idx="5">
                  <c:v>0.935483870967742</c:v>
                </c:pt>
                <c:pt idx="6">
                  <c:v>0.967741935483871</c:v>
                </c:pt>
                <c:pt idx="7">
                  <c:v>0</c:v>
                </c:pt>
                <c:pt idx="8">
                  <c:v>1</c:v>
                </c:pt>
                <c:pt idx="9">
                  <c:v>0.0645161290322581</c:v>
                </c:pt>
                <c:pt idx="10">
                  <c:v>0.806451612903226</c:v>
                </c:pt>
                <c:pt idx="11">
                  <c:v>0.935483870967742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0.741935483870968</c:v>
                </c:pt>
                <c:pt idx="17">
                  <c:v>0.451612903225806</c:v>
                </c:pt>
                <c:pt idx="18">
                  <c:v>0</c:v>
                </c:pt>
                <c:pt idx="19">
                  <c:v>0.580645161290323</c:v>
                </c:pt>
                <c:pt idx="20">
                  <c:v>0.548387096774194</c:v>
                </c:pt>
              </c:numCache>
            </c:numRef>
          </c:val>
        </c:ser>
        <c:gapWidth val="100"/>
        <c:overlap val="0"/>
        <c:axId val="63701156"/>
        <c:axId val="50691631"/>
      </c:barChart>
      <c:catAx>
        <c:axId val="637011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691631"/>
        <c:crosses val="autoZero"/>
        <c:auto val="1"/>
        <c:lblAlgn val="ctr"/>
        <c:lblOffset val="100"/>
        <c:noMultiLvlLbl val="0"/>
      </c:catAx>
      <c:valAx>
        <c:axId val="5069163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701156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Aproveitamento SST
2° trimestre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'% aproveitamento mensal'!$E$1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mensal'!$E$2:$E$22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0.933333333333333</c:v>
                </c:pt>
                <c:pt idx="6">
                  <c:v>1</c:v>
                </c:pt>
                <c:pt idx="7">
                  <c:v>0</c:v>
                </c:pt>
                <c:pt idx="8">
                  <c:v>0.733333333333333</c:v>
                </c:pt>
                <c:pt idx="9">
                  <c:v>0</c:v>
                </c:pt>
                <c:pt idx="10">
                  <c:v>0.733333333333333</c:v>
                </c:pt>
                <c:pt idx="11">
                  <c:v>0.966666666666667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0.5</c:v>
                </c:pt>
                <c:pt idx="17">
                  <c:v>0.7</c:v>
                </c:pt>
                <c:pt idx="18">
                  <c:v>0</c:v>
                </c:pt>
                <c:pt idx="19">
                  <c:v>1</c:v>
                </c:pt>
                <c:pt idx="20">
                  <c:v>0.966666666666667</c:v>
                </c:pt>
              </c:numCache>
            </c:numRef>
          </c:val>
        </c:ser>
        <c:ser>
          <c:idx val="1"/>
          <c:order val="1"/>
          <c:tx>
            <c:strRef>
              <c:f>'% aproveitamento mensal'!$F$1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mensal'!$F$2:$F$22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0.0967741935483871</c:v>
                </c:pt>
                <c:pt idx="3">
                  <c:v>0</c:v>
                </c:pt>
                <c:pt idx="4">
                  <c:v>0.387096774193548</c:v>
                </c:pt>
                <c:pt idx="5">
                  <c:v>1</c:v>
                </c:pt>
                <c:pt idx="6">
                  <c:v>0.935483870967742</c:v>
                </c:pt>
                <c:pt idx="7">
                  <c:v>0</c:v>
                </c:pt>
                <c:pt idx="8">
                  <c:v>0.870967741935484</c:v>
                </c:pt>
                <c:pt idx="9">
                  <c:v>0</c:v>
                </c:pt>
                <c:pt idx="10">
                  <c:v>0</c:v>
                </c:pt>
                <c:pt idx="11">
                  <c:v>0.903225806451613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0.967741935483871</c:v>
                </c:pt>
                <c:pt idx="17">
                  <c:v>0</c:v>
                </c:pt>
                <c:pt idx="18">
                  <c:v>0</c:v>
                </c:pt>
                <c:pt idx="19">
                  <c:v>0.967741935483871</c:v>
                </c:pt>
                <c:pt idx="20">
                  <c:v>0.935483870967742</c:v>
                </c:pt>
              </c:numCache>
            </c:numRef>
          </c:val>
        </c:ser>
        <c:ser>
          <c:idx val="2"/>
          <c:order val="2"/>
          <c:tx>
            <c:strRef>
              <c:f>'% aproveitamento mensal'!$G$1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mensal'!$G$2:$G$22</c:f>
              <c:numCache>
                <c:formatCode>General</c:formatCode>
                <c:ptCount val="21"/>
                <c:pt idx="0">
                  <c:v>0.0333333333333333</c:v>
                </c:pt>
                <c:pt idx="1">
                  <c:v>0.1</c:v>
                </c:pt>
                <c:pt idx="2">
                  <c:v>0.0333333333333333</c:v>
                </c:pt>
                <c:pt idx="3">
                  <c:v>0.0666666666666667</c:v>
                </c:pt>
                <c:pt idx="4">
                  <c:v>0.966666666666667</c:v>
                </c:pt>
                <c:pt idx="5">
                  <c:v>1</c:v>
                </c:pt>
                <c:pt idx="6">
                  <c:v>0.933333333333333</c:v>
                </c:pt>
                <c:pt idx="7">
                  <c:v>0.566666666666667</c:v>
                </c:pt>
                <c:pt idx="8">
                  <c:v>0.866666666666667</c:v>
                </c:pt>
                <c:pt idx="9">
                  <c:v>0</c:v>
                </c:pt>
                <c:pt idx="10">
                  <c:v>0.6</c:v>
                </c:pt>
                <c:pt idx="11">
                  <c:v>1</c:v>
                </c:pt>
                <c:pt idx="12">
                  <c:v>0.9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0.933333333333333</c:v>
                </c:pt>
                <c:pt idx="17">
                  <c:v>0</c:v>
                </c:pt>
                <c:pt idx="18">
                  <c:v>0.633333333333333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gapWidth val="100"/>
        <c:overlap val="0"/>
        <c:axId val="64040580"/>
        <c:axId val="22401361"/>
      </c:barChart>
      <c:catAx>
        <c:axId val="640405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401361"/>
        <c:crosses val="autoZero"/>
        <c:auto val="1"/>
        <c:lblAlgn val="ctr"/>
        <c:lblOffset val="100"/>
        <c:noMultiLvlLbl val="0"/>
      </c:catAx>
      <c:valAx>
        <c:axId val="2240136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040580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Aproveitamento SST
3° trimestre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'% aproveitamento mensal'!$H$1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mensal'!$H$2:$H$22</c:f>
              <c:numCache>
                <c:formatCode>General</c:formatCode>
                <c:ptCount val="21"/>
                <c:pt idx="0">
                  <c:v>0.0645161290322581</c:v>
                </c:pt>
                <c:pt idx="1">
                  <c:v>0</c:v>
                </c:pt>
                <c:pt idx="2">
                  <c:v>0.129032258064516</c:v>
                </c:pt>
                <c:pt idx="3">
                  <c:v>0.967741935483871</c:v>
                </c:pt>
                <c:pt idx="4">
                  <c:v>0.903225806451613</c:v>
                </c:pt>
                <c:pt idx="5">
                  <c:v>0.967741935483871</c:v>
                </c:pt>
                <c:pt idx="6">
                  <c:v>1</c:v>
                </c:pt>
                <c:pt idx="7">
                  <c:v>1</c:v>
                </c:pt>
                <c:pt idx="8">
                  <c:v>0.741935483870968</c:v>
                </c:pt>
                <c:pt idx="9">
                  <c:v>0</c:v>
                </c:pt>
                <c:pt idx="10">
                  <c:v>0.806451612903226</c:v>
                </c:pt>
                <c:pt idx="11">
                  <c:v>0.903225806451613</c:v>
                </c:pt>
                <c:pt idx="12">
                  <c:v>0.967741935483871</c:v>
                </c:pt>
                <c:pt idx="13">
                  <c:v>0.967741935483871</c:v>
                </c:pt>
                <c:pt idx="14">
                  <c:v>1</c:v>
                </c:pt>
                <c:pt idx="15">
                  <c:v>1</c:v>
                </c:pt>
                <c:pt idx="16">
                  <c:v>0.709677419354839</c:v>
                </c:pt>
                <c:pt idx="17">
                  <c:v>0.0645161290322581</c:v>
                </c:pt>
                <c:pt idx="18">
                  <c:v>0.612903225806452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ser>
          <c:idx val="1"/>
          <c:order val="1"/>
          <c:tx>
            <c:strRef>
              <c:f>'% aproveitamento mensal'!$I$1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mensal'!$I$2:$I$22</c:f>
              <c:numCache>
                <c:formatCode>General</c:formatCode>
                <c:ptCount val="21"/>
                <c:pt idx="0">
                  <c:v>0</c:v>
                </c:pt>
                <c:pt idx="1">
                  <c:v>0.193548387096774</c:v>
                </c:pt>
                <c:pt idx="2">
                  <c:v>0.645161290322581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0.032258064516129</c:v>
                </c:pt>
                <c:pt idx="7">
                  <c:v>0.129032258064516</c:v>
                </c:pt>
                <c:pt idx="8">
                  <c:v>0.935483870967742</c:v>
                </c:pt>
                <c:pt idx="9">
                  <c:v>0</c:v>
                </c:pt>
                <c:pt idx="10">
                  <c:v>0.451612903225806</c:v>
                </c:pt>
                <c:pt idx="11">
                  <c:v>0.709677419354839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0.935483870967742</c:v>
                </c:pt>
                <c:pt idx="16">
                  <c:v>0.870967741935484</c:v>
                </c:pt>
                <c:pt idx="17">
                  <c:v>0.225806451612903</c:v>
                </c:pt>
                <c:pt idx="18">
                  <c:v>0.903225806451613</c:v>
                </c:pt>
                <c:pt idx="19">
                  <c:v>0.967741935483871</c:v>
                </c:pt>
                <c:pt idx="20">
                  <c:v>1</c:v>
                </c:pt>
              </c:numCache>
            </c:numRef>
          </c:val>
        </c:ser>
        <c:ser>
          <c:idx val="2"/>
          <c:order val="2"/>
          <c:tx>
            <c:strRef>
              <c:f>'% aproveitamento mensal'!$J$1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mensal'!$J$2:$J$22</c:f>
              <c:numCache>
                <c:formatCode>General</c:formatCode>
                <c:ptCount val="21"/>
                <c:pt idx="0">
                  <c:v>0.133333333333333</c:v>
                </c:pt>
                <c:pt idx="1">
                  <c:v>0</c:v>
                </c:pt>
                <c:pt idx="2">
                  <c:v>0.5</c:v>
                </c:pt>
                <c:pt idx="3">
                  <c:v>0.0333333333333333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0.5</c:v>
                </c:pt>
                <c:pt idx="8">
                  <c:v>0.3</c:v>
                </c:pt>
                <c:pt idx="9">
                  <c:v>0</c:v>
                </c:pt>
                <c:pt idx="10">
                  <c:v>0.4</c:v>
                </c:pt>
                <c:pt idx="11">
                  <c:v>0.633333333333333</c:v>
                </c:pt>
                <c:pt idx="12">
                  <c:v>1</c:v>
                </c:pt>
                <c:pt idx="13">
                  <c:v>0.9</c:v>
                </c:pt>
                <c:pt idx="14">
                  <c:v>1</c:v>
                </c:pt>
                <c:pt idx="15">
                  <c:v>0.9</c:v>
                </c:pt>
                <c:pt idx="16">
                  <c:v>0.966666666666667</c:v>
                </c:pt>
                <c:pt idx="17">
                  <c:v>0</c:v>
                </c:pt>
                <c:pt idx="18">
                  <c:v>0.933333333333333</c:v>
                </c:pt>
                <c:pt idx="19">
                  <c:v>0.733333333333333</c:v>
                </c:pt>
                <c:pt idx="20">
                  <c:v>1</c:v>
                </c:pt>
              </c:numCache>
            </c:numRef>
          </c:val>
        </c:ser>
        <c:gapWidth val="100"/>
        <c:overlap val="0"/>
        <c:axId val="80764723"/>
        <c:axId val="31467728"/>
      </c:barChart>
      <c:catAx>
        <c:axId val="807647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467728"/>
        <c:crosses val="autoZero"/>
        <c:auto val="1"/>
        <c:lblAlgn val="ctr"/>
        <c:lblOffset val="100"/>
        <c:noMultiLvlLbl val="0"/>
      </c:catAx>
      <c:valAx>
        <c:axId val="3146772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764723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Aproveitamento SST
4° trimestre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'% aproveitamento mensal'!$K$1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mensal'!$K$2:$K$22</c:f>
              <c:numCache>
                <c:formatCode>General</c:formatCode>
                <c:ptCount val="21"/>
                <c:pt idx="0">
                  <c:v>0</c:v>
                </c:pt>
                <c:pt idx="1">
                  <c:v>0.451612903225806</c:v>
                </c:pt>
                <c:pt idx="2">
                  <c:v>0.0967741935483871</c:v>
                </c:pt>
                <c:pt idx="3">
                  <c:v>0.580645161290323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0.774193548387097</c:v>
                </c:pt>
                <c:pt idx="8">
                  <c:v>0.354838709677419</c:v>
                </c:pt>
                <c:pt idx="9">
                  <c:v>0</c:v>
                </c:pt>
                <c:pt idx="10">
                  <c:v>0.903225806451613</c:v>
                </c:pt>
                <c:pt idx="11">
                  <c:v>1</c:v>
                </c:pt>
                <c:pt idx="12">
                  <c:v>0.935483870967742</c:v>
                </c:pt>
                <c:pt idx="13">
                  <c:v>1</c:v>
                </c:pt>
                <c:pt idx="14">
                  <c:v>1</c:v>
                </c:pt>
                <c:pt idx="15">
                  <c:v>0.838709677419355</c:v>
                </c:pt>
                <c:pt idx="16">
                  <c:v>1</c:v>
                </c:pt>
                <c:pt idx="17">
                  <c:v>0.483870967741936</c:v>
                </c:pt>
                <c:pt idx="18">
                  <c:v>1</c:v>
                </c:pt>
                <c:pt idx="19">
                  <c:v>1</c:v>
                </c:pt>
                <c:pt idx="20">
                  <c:v>0.935483870967742</c:v>
                </c:pt>
              </c:numCache>
            </c:numRef>
          </c:val>
        </c:ser>
        <c:ser>
          <c:idx val="1"/>
          <c:order val="1"/>
          <c:tx>
            <c:strRef>
              <c:f>'% aproveitamento mensal'!$L$1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mensal'!$L$2:$L$22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0.133333333333333</c:v>
                </c:pt>
                <c:pt idx="3">
                  <c:v>0.0333333333333333</c:v>
                </c:pt>
                <c:pt idx="4">
                  <c:v>0.866666666666667</c:v>
                </c:pt>
                <c:pt idx="5">
                  <c:v>1</c:v>
                </c:pt>
                <c:pt idx="6">
                  <c:v>0</c:v>
                </c:pt>
                <c:pt idx="7">
                  <c:v>0.833333333333333</c:v>
                </c:pt>
                <c:pt idx="8">
                  <c:v>0.366666666666667</c:v>
                </c:pt>
                <c:pt idx="9">
                  <c:v>0.533333333333333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</c:v>
                </c:pt>
                <c:pt idx="16">
                  <c:v>0.966666666666667</c:v>
                </c:pt>
                <c:pt idx="17">
                  <c:v>0.7</c:v>
                </c:pt>
                <c:pt idx="18">
                  <c:v>1</c:v>
                </c:pt>
                <c:pt idx="19">
                  <c:v>0.9</c:v>
                </c:pt>
                <c:pt idx="20">
                  <c:v>1</c:v>
                </c:pt>
              </c:numCache>
            </c:numRef>
          </c:val>
        </c:ser>
        <c:ser>
          <c:idx val="2"/>
          <c:order val="2"/>
          <c:tx>
            <c:strRef>
              <c:f>'% aproveitamento mensal'!$M$1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'% aproveitamento mensal'!$A$2:$A$22</c:f>
              <c:strCache>
                <c:ptCount val="21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</c:strCache>
            </c:strRef>
          </c:cat>
          <c:val>
            <c:numRef>
              <c:f>'% aproveitamento mensal'!$M$2:$M$22</c:f>
              <c:numCache>
                <c:formatCode>General</c:formatCode>
                <c:ptCount val="21"/>
                <c:pt idx="0">
                  <c:v>0.032258064516129</c:v>
                </c:pt>
                <c:pt idx="1">
                  <c:v>0</c:v>
                </c:pt>
                <c:pt idx="2">
                  <c:v>0</c:v>
                </c:pt>
                <c:pt idx="3">
                  <c:v>0.032258064516129</c:v>
                </c:pt>
                <c:pt idx="4">
                  <c:v>0.870967741935484</c:v>
                </c:pt>
                <c:pt idx="5">
                  <c:v>0.806451612903226</c:v>
                </c:pt>
                <c:pt idx="6">
                  <c:v>0</c:v>
                </c:pt>
                <c:pt idx="7">
                  <c:v>0.870967741935484</c:v>
                </c:pt>
                <c:pt idx="8">
                  <c:v>0.870967741935484</c:v>
                </c:pt>
                <c:pt idx="9">
                  <c:v>0.774193548387097</c:v>
                </c:pt>
                <c:pt idx="10">
                  <c:v>0.967741935483871</c:v>
                </c:pt>
                <c:pt idx="11">
                  <c:v>0.741935483870968</c:v>
                </c:pt>
                <c:pt idx="12">
                  <c:v>0.580645161290323</c:v>
                </c:pt>
                <c:pt idx="13">
                  <c:v>1</c:v>
                </c:pt>
                <c:pt idx="14">
                  <c:v>0.741935483870968</c:v>
                </c:pt>
                <c:pt idx="15">
                  <c:v>0.709677419354839</c:v>
                </c:pt>
                <c:pt idx="16">
                  <c:v>1</c:v>
                </c:pt>
                <c:pt idx="17">
                  <c:v>0.225806451612903</c:v>
                </c:pt>
                <c:pt idx="18">
                  <c:v>0.0645161290322581</c:v>
                </c:pt>
                <c:pt idx="19">
                  <c:v>0.741935483870968</c:v>
                </c:pt>
                <c:pt idx="20">
                  <c:v>0.838709677419355</c:v>
                </c:pt>
              </c:numCache>
            </c:numRef>
          </c:val>
        </c:ser>
        <c:gapWidth val="100"/>
        <c:overlap val="0"/>
        <c:axId val="65313208"/>
        <c:axId val="63858020"/>
      </c:barChart>
      <c:catAx>
        <c:axId val="65313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858020"/>
        <c:crosses val="autoZero"/>
        <c:auto val="1"/>
        <c:lblAlgn val="ctr"/>
        <c:lblOffset val="100"/>
        <c:noMultiLvlLbl val="0"/>
      </c:catAx>
      <c:valAx>
        <c:axId val="6385802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313208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52560</xdr:colOff>
      <xdr:row>25</xdr:row>
      <xdr:rowOff>4680</xdr:rowOff>
    </xdr:from>
    <xdr:to>
      <xdr:col>10</xdr:col>
      <xdr:colOff>190080</xdr:colOff>
      <xdr:row>45</xdr:row>
      <xdr:rowOff>142200</xdr:rowOff>
    </xdr:to>
    <xdr:graphicFrame>
      <xdr:nvGraphicFramePr>
        <xdr:cNvPr id="0" name="Gráfico 6"/>
        <xdr:cNvGraphicFramePr/>
      </xdr:nvGraphicFramePr>
      <xdr:xfrm>
        <a:off x="52560" y="4767120"/>
        <a:ext cx="7936920" cy="39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159480</xdr:rowOff>
    </xdr:from>
    <xdr:to>
      <xdr:col>6</xdr:col>
      <xdr:colOff>714960</xdr:colOff>
      <xdr:row>41</xdr:row>
      <xdr:rowOff>5400</xdr:rowOff>
    </xdr:to>
    <xdr:graphicFrame>
      <xdr:nvGraphicFramePr>
        <xdr:cNvPr id="1" name=""/>
        <xdr:cNvGraphicFramePr/>
      </xdr:nvGraphicFramePr>
      <xdr:xfrm>
        <a:off x="0" y="4525560"/>
        <a:ext cx="5947200" cy="327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667440</xdr:colOff>
      <xdr:row>23</xdr:row>
      <xdr:rowOff>147600</xdr:rowOff>
    </xdr:from>
    <xdr:to>
      <xdr:col>13</xdr:col>
      <xdr:colOff>1114920</xdr:colOff>
      <xdr:row>40</xdr:row>
      <xdr:rowOff>148320</xdr:rowOff>
    </xdr:to>
    <xdr:graphicFrame>
      <xdr:nvGraphicFramePr>
        <xdr:cNvPr id="2" name=""/>
        <xdr:cNvGraphicFramePr/>
      </xdr:nvGraphicFramePr>
      <xdr:xfrm>
        <a:off x="5899680" y="4513680"/>
        <a:ext cx="576360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78840</xdr:colOff>
      <xdr:row>41</xdr:row>
      <xdr:rowOff>53280</xdr:rowOff>
    </xdr:from>
    <xdr:to>
      <xdr:col>6</xdr:col>
      <xdr:colOff>602640</xdr:colOff>
      <xdr:row>58</xdr:row>
      <xdr:rowOff>52920</xdr:rowOff>
    </xdr:to>
    <xdr:graphicFrame>
      <xdr:nvGraphicFramePr>
        <xdr:cNvPr id="3" name=""/>
        <xdr:cNvGraphicFramePr/>
      </xdr:nvGraphicFramePr>
      <xdr:xfrm>
        <a:off x="78840" y="7848360"/>
        <a:ext cx="57560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705240</xdr:colOff>
      <xdr:row>41</xdr:row>
      <xdr:rowOff>95400</xdr:rowOff>
    </xdr:from>
    <xdr:to>
      <xdr:col>13</xdr:col>
      <xdr:colOff>1146240</xdr:colOff>
      <xdr:row>58</xdr:row>
      <xdr:rowOff>95040</xdr:rowOff>
    </xdr:to>
    <xdr:graphicFrame>
      <xdr:nvGraphicFramePr>
        <xdr:cNvPr id="4" name=""/>
        <xdr:cNvGraphicFramePr/>
      </xdr:nvGraphicFramePr>
      <xdr:xfrm>
        <a:off x="5937480" y="7890480"/>
        <a:ext cx="575712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n">
        <v>1999</v>
      </c>
      <c r="B2" s="0" t="n">
        <f aca="false">0/'% aproveitamento mensal'!B24</f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2</v>
      </c>
      <c r="I2" s="0" t="n">
        <v>0</v>
      </c>
      <c r="J2" s="0" t="n">
        <v>4</v>
      </c>
      <c r="K2" s="0" t="n">
        <v>0</v>
      </c>
      <c r="L2" s="0" t="n">
        <v>0</v>
      </c>
      <c r="M2" s="0" t="n">
        <v>1</v>
      </c>
    </row>
    <row r="3" customFormat="false" ht="15" hidden="false" customHeight="false" outlineLevel="0" collapsed="false">
      <c r="A3" s="0" t="n">
        <v>2000</v>
      </c>
      <c r="B3" s="0" t="n">
        <v>0</v>
      </c>
      <c r="C3" s="0" t="n">
        <v>0</v>
      </c>
      <c r="D3" s="0" t="n">
        <v>3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6</v>
      </c>
      <c r="J3" s="0" t="n">
        <v>0</v>
      </c>
      <c r="K3" s="0" t="n">
        <v>14</v>
      </c>
      <c r="L3" s="0" t="n">
        <v>0</v>
      </c>
      <c r="M3" s="0" t="n">
        <v>0</v>
      </c>
    </row>
    <row r="4" customFormat="false" ht="15" hidden="false" customHeight="false" outlineLevel="0" collapsed="false">
      <c r="A4" s="0" t="n">
        <v>2001</v>
      </c>
      <c r="B4" s="0" t="n">
        <v>0</v>
      </c>
      <c r="C4" s="0" t="n">
        <v>0</v>
      </c>
      <c r="D4" s="0" t="n">
        <v>14</v>
      </c>
      <c r="E4" s="0" t="n">
        <v>9</v>
      </c>
      <c r="F4" s="0" t="n">
        <v>3</v>
      </c>
      <c r="G4" s="0" t="n">
        <v>1</v>
      </c>
      <c r="H4" s="0" t="n">
        <v>4</v>
      </c>
      <c r="I4" s="0" t="n">
        <v>20</v>
      </c>
      <c r="J4" s="0" t="n">
        <v>15</v>
      </c>
      <c r="K4" s="0" t="n">
        <v>3</v>
      </c>
      <c r="L4" s="0" t="n">
        <v>4</v>
      </c>
      <c r="M4" s="0" t="n">
        <v>0</v>
      </c>
    </row>
    <row r="5" customFormat="false" ht="15" hidden="false" customHeight="false" outlineLevel="0" collapsed="false">
      <c r="A5" s="0" t="n">
        <v>2002</v>
      </c>
      <c r="B5" s="0" t="n">
        <v>11</v>
      </c>
      <c r="C5" s="0" t="n">
        <v>9</v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30</v>
      </c>
      <c r="I5" s="0" t="n">
        <v>31</v>
      </c>
      <c r="J5" s="0" t="n">
        <v>1</v>
      </c>
      <c r="K5" s="0" t="n">
        <v>18</v>
      </c>
      <c r="L5" s="0" t="n">
        <v>1</v>
      </c>
      <c r="M5" s="0" t="n">
        <v>1</v>
      </c>
    </row>
    <row r="6" customFormat="false" ht="15" hidden="false" customHeight="false" outlineLevel="0" collapsed="false">
      <c r="A6" s="0" t="n">
        <v>2003</v>
      </c>
      <c r="B6" s="0" t="n">
        <v>5</v>
      </c>
      <c r="C6" s="0" t="n">
        <v>0</v>
      </c>
      <c r="D6" s="0" t="n">
        <v>17</v>
      </c>
      <c r="E6" s="0" t="n">
        <v>0</v>
      </c>
      <c r="F6" s="0" t="n">
        <v>12</v>
      </c>
      <c r="G6" s="0" t="n">
        <v>29</v>
      </c>
      <c r="H6" s="0" t="n">
        <v>28</v>
      </c>
      <c r="I6" s="0" t="n">
        <v>31</v>
      </c>
      <c r="J6" s="0" t="n">
        <v>30</v>
      </c>
      <c r="K6" s="0" t="n">
        <v>31</v>
      </c>
      <c r="L6" s="0" t="n">
        <v>26</v>
      </c>
      <c r="M6" s="0" t="n">
        <v>27</v>
      </c>
    </row>
    <row r="7" customFormat="false" ht="15" hidden="false" customHeight="false" outlineLevel="0" collapsed="false">
      <c r="A7" s="0" t="n">
        <v>2004</v>
      </c>
      <c r="B7" s="0" t="n">
        <v>27</v>
      </c>
      <c r="C7" s="0" t="n">
        <v>29</v>
      </c>
      <c r="D7" s="0" t="n">
        <v>29</v>
      </c>
      <c r="E7" s="0" t="n">
        <v>28</v>
      </c>
      <c r="F7" s="0" t="n">
        <v>31</v>
      </c>
      <c r="G7" s="0" t="n">
        <v>30</v>
      </c>
      <c r="H7" s="0" t="n">
        <v>30</v>
      </c>
      <c r="I7" s="0" t="n">
        <v>31</v>
      </c>
      <c r="J7" s="0" t="n">
        <v>30</v>
      </c>
      <c r="K7" s="0" t="n">
        <v>31</v>
      </c>
      <c r="L7" s="0" t="n">
        <v>30</v>
      </c>
      <c r="M7" s="0" t="n">
        <v>25</v>
      </c>
    </row>
    <row r="8" customFormat="false" ht="15" hidden="false" customHeight="false" outlineLevel="0" collapsed="false">
      <c r="A8" s="0" t="n">
        <v>2005</v>
      </c>
      <c r="B8" s="0" t="n">
        <v>23</v>
      </c>
      <c r="C8" s="0" t="n">
        <v>27</v>
      </c>
      <c r="D8" s="0" t="n">
        <v>30</v>
      </c>
      <c r="E8" s="0" t="n">
        <v>30</v>
      </c>
      <c r="F8" s="0" t="n">
        <v>29</v>
      </c>
      <c r="G8" s="0" t="n">
        <v>28</v>
      </c>
      <c r="H8" s="0" t="n">
        <v>31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n">
        <v>2006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17</v>
      </c>
      <c r="H9" s="0" t="n">
        <v>31</v>
      </c>
      <c r="I9" s="0" t="n">
        <v>4</v>
      </c>
      <c r="J9" s="0" t="n">
        <v>15</v>
      </c>
      <c r="K9" s="0" t="n">
        <v>24</v>
      </c>
      <c r="L9" s="0" t="n">
        <v>25</v>
      </c>
      <c r="M9" s="0" t="n">
        <v>27</v>
      </c>
    </row>
    <row r="10" customFormat="false" ht="15" hidden="false" customHeight="false" outlineLevel="0" collapsed="false">
      <c r="A10" s="0" t="n">
        <v>2007</v>
      </c>
      <c r="B10" s="0" t="n">
        <v>29</v>
      </c>
      <c r="C10" s="0" t="n">
        <v>27</v>
      </c>
      <c r="D10" s="0" t="n">
        <v>31</v>
      </c>
      <c r="E10" s="0" t="n">
        <v>22</v>
      </c>
      <c r="F10" s="0" t="n">
        <v>27</v>
      </c>
      <c r="G10" s="0" t="n">
        <v>26</v>
      </c>
      <c r="H10" s="0" t="n">
        <v>23</v>
      </c>
      <c r="I10" s="0" t="n">
        <v>29</v>
      </c>
      <c r="J10" s="0" t="n">
        <v>9</v>
      </c>
      <c r="K10" s="0" t="n">
        <v>11</v>
      </c>
      <c r="L10" s="0" t="n">
        <v>11</v>
      </c>
      <c r="M10" s="0" t="n">
        <v>27</v>
      </c>
    </row>
    <row r="11" customFormat="false" ht="15" hidden="false" customHeight="false" outlineLevel="0" collapsed="false">
      <c r="A11" s="0" t="n">
        <v>2008</v>
      </c>
      <c r="B11" s="0" t="n">
        <v>28</v>
      </c>
      <c r="C11" s="0" t="n">
        <v>24</v>
      </c>
      <c r="D11" s="0" t="n">
        <v>2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16</v>
      </c>
      <c r="M11" s="0" t="n">
        <v>24</v>
      </c>
    </row>
    <row r="12" customFormat="false" ht="15" hidden="false" customHeight="false" outlineLevel="0" collapsed="false">
      <c r="A12" s="0" t="n">
        <v>2009</v>
      </c>
      <c r="B12" s="0" t="n">
        <v>26</v>
      </c>
      <c r="C12" s="0" t="n">
        <v>17</v>
      </c>
      <c r="D12" s="0" t="n">
        <v>25</v>
      </c>
      <c r="E12" s="0" t="n">
        <v>22</v>
      </c>
      <c r="F12" s="0" t="n">
        <v>0</v>
      </c>
      <c r="G12" s="0" t="n">
        <v>18</v>
      </c>
      <c r="H12" s="0" t="n">
        <v>25</v>
      </c>
      <c r="I12" s="0" t="n">
        <v>14</v>
      </c>
      <c r="J12" s="0" t="n">
        <v>12</v>
      </c>
      <c r="K12" s="0" t="n">
        <v>28</v>
      </c>
      <c r="L12" s="0" t="n">
        <v>30</v>
      </c>
      <c r="M12" s="0" t="n">
        <v>30</v>
      </c>
    </row>
    <row r="13" customFormat="false" ht="15" hidden="false" customHeight="false" outlineLevel="0" collapsed="false">
      <c r="A13" s="0" t="n">
        <v>2010</v>
      </c>
      <c r="B13" s="0" t="n">
        <v>30</v>
      </c>
      <c r="C13" s="0" t="n">
        <v>26</v>
      </c>
      <c r="D13" s="0" t="n">
        <v>29</v>
      </c>
      <c r="E13" s="0" t="n">
        <v>29</v>
      </c>
      <c r="F13" s="0" t="n">
        <v>28</v>
      </c>
      <c r="G13" s="0" t="n">
        <v>30</v>
      </c>
      <c r="H13" s="0" t="n">
        <v>28</v>
      </c>
      <c r="I13" s="0" t="n">
        <v>22</v>
      </c>
      <c r="J13" s="0" t="n">
        <v>19</v>
      </c>
      <c r="K13" s="0" t="n">
        <v>31</v>
      </c>
      <c r="L13" s="0" t="n">
        <v>30</v>
      </c>
      <c r="M13" s="0" t="n">
        <v>23</v>
      </c>
    </row>
    <row r="14" customFormat="false" ht="15" hidden="false" customHeight="false" outlineLevel="0" collapsed="false">
      <c r="A14" s="0" t="n">
        <v>2011</v>
      </c>
      <c r="B14" s="0" t="n">
        <v>27</v>
      </c>
      <c r="C14" s="0" t="n">
        <v>28</v>
      </c>
      <c r="D14" s="0" t="n">
        <v>31</v>
      </c>
      <c r="E14" s="0" t="n">
        <v>30</v>
      </c>
      <c r="F14" s="0" t="n">
        <v>31</v>
      </c>
      <c r="G14" s="0" t="n">
        <v>27</v>
      </c>
      <c r="H14" s="0" t="n">
        <v>30</v>
      </c>
      <c r="I14" s="0" t="n">
        <v>31</v>
      </c>
      <c r="J14" s="0" t="n">
        <v>30</v>
      </c>
      <c r="K14" s="0" t="n">
        <v>29</v>
      </c>
      <c r="L14" s="0" t="n">
        <v>30</v>
      </c>
      <c r="M14" s="0" t="n">
        <v>18</v>
      </c>
    </row>
    <row r="15" customFormat="false" ht="15" hidden="false" customHeight="false" outlineLevel="0" collapsed="false">
      <c r="A15" s="0" t="n">
        <v>2012</v>
      </c>
      <c r="B15" s="0" t="n">
        <v>29</v>
      </c>
      <c r="C15" s="0" t="n">
        <v>29</v>
      </c>
      <c r="D15" s="0" t="n">
        <v>31</v>
      </c>
      <c r="E15" s="0" t="n">
        <v>30</v>
      </c>
      <c r="F15" s="0" t="n">
        <v>31</v>
      </c>
      <c r="G15" s="0" t="n">
        <v>30</v>
      </c>
      <c r="H15" s="0" t="n">
        <v>30</v>
      </c>
      <c r="I15" s="0" t="n">
        <v>31</v>
      </c>
      <c r="J15" s="0" t="n">
        <v>27</v>
      </c>
      <c r="K15" s="0" t="n">
        <v>31</v>
      </c>
      <c r="L15" s="0" t="n">
        <v>30</v>
      </c>
      <c r="M15" s="0" t="n">
        <v>31</v>
      </c>
    </row>
    <row r="16" customFormat="false" ht="15" hidden="false" customHeight="false" outlineLevel="0" collapsed="false">
      <c r="A16" s="0" t="n">
        <v>2013</v>
      </c>
      <c r="B16" s="0" t="n">
        <v>31</v>
      </c>
      <c r="C16" s="0" t="n">
        <v>28</v>
      </c>
      <c r="D16" s="0" t="n">
        <v>31</v>
      </c>
      <c r="E16" s="0" t="n">
        <v>30</v>
      </c>
      <c r="F16" s="0" t="n">
        <v>31</v>
      </c>
      <c r="G16" s="0" t="n">
        <v>30</v>
      </c>
      <c r="H16" s="0" t="n">
        <v>31</v>
      </c>
      <c r="I16" s="0" t="n">
        <v>31</v>
      </c>
      <c r="J16" s="0" t="n">
        <v>30</v>
      </c>
      <c r="K16" s="0" t="n">
        <v>31</v>
      </c>
      <c r="L16" s="0" t="n">
        <v>30</v>
      </c>
      <c r="M16" s="0" t="n">
        <v>23</v>
      </c>
    </row>
    <row r="17" customFormat="false" ht="15" hidden="false" customHeight="false" outlineLevel="0" collapsed="false">
      <c r="A17" s="0" t="n">
        <v>2014</v>
      </c>
      <c r="B17" s="0" t="n">
        <v>30</v>
      </c>
      <c r="C17" s="0" t="n">
        <v>28</v>
      </c>
      <c r="D17" s="0" t="n">
        <v>31</v>
      </c>
      <c r="E17" s="0" t="n">
        <v>30</v>
      </c>
      <c r="F17" s="0" t="n">
        <v>31</v>
      </c>
      <c r="G17" s="0" t="n">
        <v>30</v>
      </c>
      <c r="H17" s="0" t="n">
        <v>31</v>
      </c>
      <c r="I17" s="0" t="n">
        <v>29</v>
      </c>
      <c r="J17" s="0" t="n">
        <v>27</v>
      </c>
      <c r="K17" s="0" t="n">
        <v>26</v>
      </c>
      <c r="L17" s="0" t="n">
        <v>27</v>
      </c>
      <c r="M17" s="0" t="n">
        <v>22</v>
      </c>
    </row>
    <row r="18" customFormat="false" ht="15" hidden="false" customHeight="false" outlineLevel="0" collapsed="false">
      <c r="A18" s="0" t="n">
        <v>2015</v>
      </c>
      <c r="B18" s="0" t="n">
        <v>28</v>
      </c>
      <c r="C18" s="0" t="n">
        <v>5</v>
      </c>
      <c r="D18" s="0" t="n">
        <v>23</v>
      </c>
      <c r="E18" s="0" t="n">
        <v>15</v>
      </c>
      <c r="F18" s="0" t="n">
        <v>30</v>
      </c>
      <c r="G18" s="0" t="n">
        <v>28</v>
      </c>
      <c r="H18" s="0" t="n">
        <v>22</v>
      </c>
      <c r="I18" s="0" t="n">
        <v>27</v>
      </c>
      <c r="J18" s="0" t="n">
        <v>29</v>
      </c>
      <c r="K18" s="0" t="n">
        <v>31</v>
      </c>
      <c r="L18" s="0" t="n">
        <v>29</v>
      </c>
      <c r="M18" s="0" t="n">
        <v>31</v>
      </c>
    </row>
    <row r="19" customFormat="false" ht="15" hidden="false" customHeight="false" outlineLevel="0" collapsed="false">
      <c r="A19" s="0" t="n">
        <v>2016</v>
      </c>
      <c r="B19" s="0" t="n">
        <v>30</v>
      </c>
      <c r="C19" s="0" t="n">
        <v>0</v>
      </c>
      <c r="D19" s="0" t="n">
        <v>14</v>
      </c>
      <c r="E19" s="0" t="n">
        <v>21</v>
      </c>
      <c r="F19" s="0" t="n">
        <v>0</v>
      </c>
      <c r="G19" s="0" t="n">
        <v>0</v>
      </c>
      <c r="H19" s="0" t="n">
        <v>2</v>
      </c>
      <c r="I19" s="0" t="n">
        <v>7</v>
      </c>
      <c r="J19" s="0" t="n">
        <v>0</v>
      </c>
      <c r="K19" s="0" t="n">
        <v>15</v>
      </c>
      <c r="L19" s="0" t="n">
        <v>21</v>
      </c>
      <c r="M19" s="0" t="n">
        <v>7</v>
      </c>
    </row>
    <row r="20" customFormat="false" ht="15" hidden="false" customHeight="false" outlineLevel="0" collapsed="false">
      <c r="A20" s="0" t="n">
        <v>2017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19</v>
      </c>
      <c r="H20" s="0" t="n">
        <v>19</v>
      </c>
      <c r="I20" s="0" t="n">
        <v>28</v>
      </c>
      <c r="J20" s="0" t="n">
        <v>28</v>
      </c>
      <c r="K20" s="0" t="n">
        <v>31</v>
      </c>
      <c r="L20" s="0" t="n">
        <v>30</v>
      </c>
      <c r="M20" s="0" t="n">
        <v>2</v>
      </c>
    </row>
    <row r="21" customFormat="false" ht="15" hidden="false" customHeight="false" outlineLevel="0" collapsed="false">
      <c r="A21" s="0" t="n">
        <v>2018</v>
      </c>
      <c r="B21" s="0" t="n">
        <v>0</v>
      </c>
      <c r="C21" s="0" t="n">
        <v>0</v>
      </c>
      <c r="D21" s="0" t="n">
        <v>18</v>
      </c>
      <c r="E21" s="0" t="n">
        <v>30</v>
      </c>
      <c r="F21" s="0" t="n">
        <v>30</v>
      </c>
      <c r="G21" s="0" t="n">
        <v>30</v>
      </c>
      <c r="H21" s="0" t="n">
        <v>31</v>
      </c>
      <c r="I21" s="0" t="n">
        <v>30</v>
      </c>
      <c r="J21" s="0" t="n">
        <v>22</v>
      </c>
      <c r="K21" s="0" t="n">
        <v>31</v>
      </c>
      <c r="L21" s="0" t="n">
        <v>27</v>
      </c>
      <c r="M21" s="0" t="n">
        <v>23</v>
      </c>
    </row>
    <row r="22" customFormat="false" ht="15" hidden="false" customHeight="false" outlineLevel="0" collapsed="false">
      <c r="A22" s="0" t="n">
        <v>2019</v>
      </c>
      <c r="B22" s="0" t="n">
        <v>15</v>
      </c>
      <c r="C22" s="0" t="n">
        <v>0</v>
      </c>
      <c r="D22" s="0" t="n">
        <v>17</v>
      </c>
      <c r="E22" s="0" t="n">
        <v>29</v>
      </c>
      <c r="F22" s="0" t="n">
        <v>29</v>
      </c>
      <c r="G22" s="0" t="n">
        <v>30</v>
      </c>
      <c r="H22" s="0" t="n">
        <v>31</v>
      </c>
      <c r="I22" s="0" t="n">
        <v>31</v>
      </c>
      <c r="J22" s="0" t="n">
        <v>30</v>
      </c>
      <c r="K22" s="0" t="n">
        <v>29</v>
      </c>
      <c r="L22" s="0" t="n">
        <v>30</v>
      </c>
      <c r="M22" s="0" t="n">
        <v>26</v>
      </c>
    </row>
    <row r="23" customFormat="false" ht="15" hidden="false" customHeight="false" outlineLevel="0" collapsed="false">
      <c r="A23" s="0" t="n">
        <v>2020</v>
      </c>
      <c r="B23" s="0" t="n">
        <v>9</v>
      </c>
      <c r="C23" s="0" t="n">
        <v>29</v>
      </c>
      <c r="D23" s="0" t="n">
        <v>19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</sheetData>
  <sheetProtection sheet="true" password="e2d6" objects="true" scenarios="true"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14"/>
    <col collapsed="false" customWidth="true" hidden="false" outlineLevel="0" max="14" min="14" style="1" width="14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13</v>
      </c>
      <c r="N1" s="1" t="s">
        <v>14</v>
      </c>
    </row>
    <row r="2" customFormat="false" ht="13.8" hidden="false" customHeight="false" outlineLevel="0" collapsed="false">
      <c r="A2" s="0" t="n">
        <v>1999</v>
      </c>
      <c r="B2" s="2" t="n">
        <f aca="false">'Dias com dados'!B2/'% aproveitamento mensal'!B24</f>
        <v>0</v>
      </c>
      <c r="C2" s="1" t="n">
        <f aca="false">'Dias com dados'!C2/'% aproveitamento mensal'!C24</f>
        <v>0</v>
      </c>
      <c r="D2" s="1" t="n">
        <f aca="false">'Dias com dados'!D2/'% aproveitamento mensal'!D24</f>
        <v>0</v>
      </c>
      <c r="E2" s="1" t="n">
        <f aca="false">'Dias com dados'!E2/'% aproveitamento mensal'!E24</f>
        <v>0</v>
      </c>
      <c r="F2" s="1" t="n">
        <f aca="false">'Dias com dados'!F2/'% aproveitamento mensal'!F24</f>
        <v>0</v>
      </c>
      <c r="G2" s="1" t="n">
        <f aca="false">'Dias com dados'!G2/'% aproveitamento mensal'!G24</f>
        <v>0.0333333333333333</v>
      </c>
      <c r="H2" s="1" t="n">
        <f aca="false">'Dias com dados'!H2/'% aproveitamento mensal'!H24</f>
        <v>0.0645161290322581</v>
      </c>
      <c r="I2" s="1" t="n">
        <f aca="false">'Dias com dados'!I2/'% aproveitamento mensal'!I24</f>
        <v>0</v>
      </c>
      <c r="J2" s="1" t="n">
        <f aca="false">'Dias com dados'!J2/'% aproveitamento mensal'!J24</f>
        <v>0.133333333333333</v>
      </c>
      <c r="K2" s="1" t="n">
        <f aca="false">'Dias com dados'!K2/'% aproveitamento mensal'!K24</f>
        <v>0</v>
      </c>
      <c r="L2" s="1" t="n">
        <f aca="false">'Dias com dados'!L2/'% aproveitamento mensal'!L24</f>
        <v>0</v>
      </c>
      <c r="M2" s="1" t="n">
        <f aca="false">'Dias com dados'!M2/'% aproveitamento mensal'!M24</f>
        <v>0.032258064516129</v>
      </c>
      <c r="N2" s="1" t="n">
        <f aca="false">AVERAGE(B2:M2)</f>
        <v>0.0219534050179211</v>
      </c>
    </row>
    <row r="3" customFormat="false" ht="15" hidden="false" customHeight="false" outlineLevel="0" collapsed="false">
      <c r="A3" s="0" t="n">
        <v>2000</v>
      </c>
      <c r="B3" s="1" t="n">
        <f aca="false">'Dias com dados'!B3/'% aproveitamento mensal'!B24</f>
        <v>0</v>
      </c>
      <c r="C3" s="1" t="n">
        <f aca="false">'Dias com dados'!C3/'% aproveitamento mensal'!C24</f>
        <v>0</v>
      </c>
      <c r="D3" s="1" t="n">
        <f aca="false">'Dias com dados'!D3/'% aproveitamento mensal'!D24</f>
        <v>0.0967741935483871</v>
      </c>
      <c r="E3" s="1" t="n">
        <f aca="false">'Dias com dados'!E3/'% aproveitamento mensal'!E24</f>
        <v>0</v>
      </c>
      <c r="F3" s="1" t="n">
        <f aca="false">'Dias com dados'!F3/'% aproveitamento mensal'!F24</f>
        <v>0</v>
      </c>
      <c r="G3" s="1" t="n">
        <f aca="false">'Dias com dados'!G3/'% aproveitamento mensal'!G24</f>
        <v>0.1</v>
      </c>
      <c r="H3" s="1" t="n">
        <f aca="false">'Dias com dados'!H3/'% aproveitamento mensal'!H24</f>
        <v>0</v>
      </c>
      <c r="I3" s="1" t="n">
        <f aca="false">'Dias com dados'!I3/'% aproveitamento mensal'!I24</f>
        <v>0.193548387096774</v>
      </c>
      <c r="J3" s="1" t="n">
        <f aca="false">'Dias com dados'!J3/'% aproveitamento mensal'!J24</f>
        <v>0</v>
      </c>
      <c r="K3" s="1" t="n">
        <f aca="false">'Dias com dados'!K3/'% aproveitamento mensal'!K24</f>
        <v>0.451612903225806</v>
      </c>
      <c r="L3" s="1" t="n">
        <f aca="false">'Dias com dados'!L3/'% aproveitamento mensal'!L24</f>
        <v>0</v>
      </c>
      <c r="M3" s="1" t="n">
        <f aca="false">'Dias com dados'!M3/'% aproveitamento mensal'!M24</f>
        <v>0</v>
      </c>
      <c r="N3" s="1" t="n">
        <f aca="false">AVERAGE(B3:M3)</f>
        <v>0.0701612903225806</v>
      </c>
    </row>
    <row r="4" customFormat="false" ht="15" hidden="false" customHeight="false" outlineLevel="0" collapsed="false">
      <c r="A4" s="0" t="n">
        <v>2001</v>
      </c>
      <c r="B4" s="1" t="n">
        <f aca="false">'Dias com dados'!B4/'% aproveitamento mensal'!B24</f>
        <v>0</v>
      </c>
      <c r="C4" s="1" t="n">
        <f aca="false">'Dias com dados'!C4/'% aproveitamento mensal'!C24</f>
        <v>0</v>
      </c>
      <c r="D4" s="1" t="n">
        <f aca="false">'Dias com dados'!D4/'% aproveitamento mensal'!D24</f>
        <v>0.451612903225806</v>
      </c>
      <c r="E4" s="1" t="n">
        <f aca="false">'Dias com dados'!E4/'% aproveitamento mensal'!E24</f>
        <v>0.3</v>
      </c>
      <c r="F4" s="1" t="n">
        <f aca="false">'Dias com dados'!F4/'% aproveitamento mensal'!F24</f>
        <v>0.0967741935483871</v>
      </c>
      <c r="G4" s="1" t="n">
        <f aca="false">'Dias com dados'!G4/'% aproveitamento mensal'!G24</f>
        <v>0.0333333333333333</v>
      </c>
      <c r="H4" s="1" t="n">
        <f aca="false">'Dias com dados'!H4/'% aproveitamento mensal'!H24</f>
        <v>0.129032258064516</v>
      </c>
      <c r="I4" s="1" t="n">
        <f aca="false">'Dias com dados'!I4/'% aproveitamento mensal'!I24</f>
        <v>0.645161290322581</v>
      </c>
      <c r="J4" s="1" t="n">
        <f aca="false">'Dias com dados'!J4/'% aproveitamento mensal'!J24</f>
        <v>0.5</v>
      </c>
      <c r="K4" s="1" t="n">
        <f aca="false">'Dias com dados'!K4/'% aproveitamento mensal'!K24</f>
        <v>0.0967741935483871</v>
      </c>
      <c r="L4" s="1" t="n">
        <f aca="false">'Dias com dados'!L4/'% aproveitamento mensal'!L24</f>
        <v>0.133333333333333</v>
      </c>
      <c r="M4" s="1" t="n">
        <f aca="false">'Dias com dados'!M4/'% aproveitamento mensal'!M24</f>
        <v>0</v>
      </c>
      <c r="N4" s="1" t="n">
        <f aca="false">AVERAGE(B4:M4)</f>
        <v>0.198835125448029</v>
      </c>
    </row>
    <row r="5" customFormat="false" ht="15" hidden="false" customHeight="false" outlineLevel="0" collapsed="false">
      <c r="A5" s="0" t="n">
        <v>2002</v>
      </c>
      <c r="B5" s="1" t="n">
        <f aca="false">'Dias com dados'!B5/'% aproveitamento mensal'!B24</f>
        <v>0.354838709677419</v>
      </c>
      <c r="C5" s="1" t="n">
        <f aca="false">'Dias com dados'!C5/'% aproveitamento mensal'!C24</f>
        <v>0.321428571428571</v>
      </c>
      <c r="D5" s="1" t="n">
        <f aca="false">'Dias com dados'!D5/'% aproveitamento mensal'!D24</f>
        <v>0</v>
      </c>
      <c r="E5" s="1" t="n">
        <f aca="false">'Dias com dados'!E5/'% aproveitamento mensal'!E24</f>
        <v>0</v>
      </c>
      <c r="F5" s="1" t="n">
        <f aca="false">'Dias com dados'!F5/'% aproveitamento mensal'!F24</f>
        <v>0</v>
      </c>
      <c r="G5" s="1" t="n">
        <f aca="false">'Dias com dados'!G5/'% aproveitamento mensal'!G24</f>
        <v>0.0666666666666667</v>
      </c>
      <c r="H5" s="1" t="n">
        <f aca="false">'Dias com dados'!H5/'% aproveitamento mensal'!H24</f>
        <v>0.967741935483871</v>
      </c>
      <c r="I5" s="1" t="n">
        <f aca="false">'Dias com dados'!I5/'% aproveitamento mensal'!I24</f>
        <v>1</v>
      </c>
      <c r="J5" s="1" t="n">
        <f aca="false">'Dias com dados'!J5/'% aproveitamento mensal'!J24</f>
        <v>0.0333333333333333</v>
      </c>
      <c r="K5" s="1" t="n">
        <f aca="false">'Dias com dados'!K5/'% aproveitamento mensal'!K24</f>
        <v>0.580645161290323</v>
      </c>
      <c r="L5" s="1" t="n">
        <f aca="false">'Dias com dados'!L5/'% aproveitamento mensal'!L24</f>
        <v>0.0333333333333333</v>
      </c>
      <c r="M5" s="1" t="n">
        <f aca="false">'Dias com dados'!M5/'% aproveitamento mensal'!M24</f>
        <v>0.032258064516129</v>
      </c>
      <c r="N5" s="1" t="n">
        <f aca="false">AVERAGE(B5:M5)</f>
        <v>0.282520481310804</v>
      </c>
    </row>
    <row r="6" customFormat="false" ht="15" hidden="false" customHeight="false" outlineLevel="0" collapsed="false">
      <c r="A6" s="0" t="n">
        <v>2003</v>
      </c>
      <c r="B6" s="1" t="n">
        <f aca="false">'Dias com dados'!B6/'% aproveitamento mensal'!B24</f>
        <v>0.161290322580645</v>
      </c>
      <c r="C6" s="1" t="n">
        <f aca="false">'Dias com dados'!C6/'% aproveitamento mensal'!C24</f>
        <v>0</v>
      </c>
      <c r="D6" s="1" t="n">
        <f aca="false">'Dias com dados'!D6/'% aproveitamento mensal'!D24</f>
        <v>0.548387096774194</v>
      </c>
      <c r="E6" s="1" t="n">
        <f aca="false">'Dias com dados'!E6/'% aproveitamento mensal'!E24</f>
        <v>0</v>
      </c>
      <c r="F6" s="1" t="n">
        <f aca="false">'Dias com dados'!F6/'% aproveitamento mensal'!F24</f>
        <v>0.387096774193548</v>
      </c>
      <c r="G6" s="1" t="n">
        <f aca="false">'Dias com dados'!G6/'% aproveitamento mensal'!G24</f>
        <v>0.966666666666667</v>
      </c>
      <c r="H6" s="1" t="n">
        <f aca="false">'Dias com dados'!H6/'% aproveitamento mensal'!H24</f>
        <v>0.903225806451613</v>
      </c>
      <c r="I6" s="1" t="n">
        <f aca="false">'Dias com dados'!I6/'% aproveitamento mensal'!I24</f>
        <v>1</v>
      </c>
      <c r="J6" s="1" t="n">
        <f aca="false">'Dias com dados'!J6/'% aproveitamento mensal'!J24</f>
        <v>1</v>
      </c>
      <c r="K6" s="1" t="n">
        <f aca="false">'Dias com dados'!K6/'% aproveitamento mensal'!K24</f>
        <v>1</v>
      </c>
      <c r="L6" s="1" t="n">
        <f aca="false">'Dias com dados'!L6/'% aproveitamento mensal'!L24</f>
        <v>0.866666666666667</v>
      </c>
      <c r="M6" s="1" t="n">
        <f aca="false">'Dias com dados'!M6/'% aproveitamento mensal'!M24</f>
        <v>0.870967741935484</v>
      </c>
      <c r="N6" s="1" t="n">
        <f aca="false">AVERAGE(B6:M6)</f>
        <v>0.642025089605735</v>
      </c>
    </row>
    <row r="7" customFormat="false" ht="15" hidden="false" customHeight="false" outlineLevel="0" collapsed="false">
      <c r="A7" s="0" t="n">
        <v>2004</v>
      </c>
      <c r="B7" s="1" t="n">
        <f aca="false">'Dias com dados'!B7/'% aproveitamento mensal'!B24</f>
        <v>0.870967741935484</v>
      </c>
      <c r="C7" s="1" t="n">
        <v>1</v>
      </c>
      <c r="D7" s="1" t="n">
        <f aca="false">'Dias com dados'!D7/'% aproveitamento mensal'!D24</f>
        <v>0.935483870967742</v>
      </c>
      <c r="E7" s="1" t="n">
        <f aca="false">'Dias com dados'!E7/'% aproveitamento mensal'!E24</f>
        <v>0.933333333333333</v>
      </c>
      <c r="F7" s="1" t="n">
        <f aca="false">'Dias com dados'!F7/'% aproveitamento mensal'!F24</f>
        <v>1</v>
      </c>
      <c r="G7" s="1" t="n">
        <f aca="false">'Dias com dados'!G7/'% aproveitamento mensal'!G24</f>
        <v>1</v>
      </c>
      <c r="H7" s="1" t="n">
        <f aca="false">'Dias com dados'!H7/'% aproveitamento mensal'!H24</f>
        <v>0.967741935483871</v>
      </c>
      <c r="I7" s="1" t="n">
        <f aca="false">'Dias com dados'!I7/'% aproveitamento mensal'!I24</f>
        <v>1</v>
      </c>
      <c r="J7" s="1" t="n">
        <f aca="false">'Dias com dados'!J7/'% aproveitamento mensal'!J24</f>
        <v>1</v>
      </c>
      <c r="K7" s="1" t="n">
        <f aca="false">'Dias com dados'!K7/'% aproveitamento mensal'!K24</f>
        <v>1</v>
      </c>
      <c r="L7" s="1" t="n">
        <f aca="false">'Dias com dados'!L7/'% aproveitamento mensal'!L24</f>
        <v>1</v>
      </c>
      <c r="M7" s="1" t="n">
        <f aca="false">'Dias com dados'!M7/'% aproveitamento mensal'!M24</f>
        <v>0.806451612903226</v>
      </c>
      <c r="N7" s="1" t="n">
        <f aca="false">AVERAGE(B7:M7)</f>
        <v>0.959498207885305</v>
      </c>
    </row>
    <row r="8" customFormat="false" ht="15" hidden="false" customHeight="false" outlineLevel="0" collapsed="false">
      <c r="A8" s="0" t="n">
        <v>2005</v>
      </c>
      <c r="B8" s="1" t="n">
        <f aca="false">'Dias com dados'!B8/'% aproveitamento mensal'!B24</f>
        <v>0.741935483870968</v>
      </c>
      <c r="C8" s="1" t="n">
        <f aca="false">'Dias com dados'!C8/'% aproveitamento mensal'!C24</f>
        <v>0.964285714285714</v>
      </c>
      <c r="D8" s="1" t="n">
        <f aca="false">'Dias com dados'!D8/'% aproveitamento mensal'!D24</f>
        <v>0.967741935483871</v>
      </c>
      <c r="E8" s="1" t="n">
        <f aca="false">'Dias com dados'!E8/'% aproveitamento mensal'!E24</f>
        <v>1</v>
      </c>
      <c r="F8" s="1" t="n">
        <f aca="false">'Dias com dados'!F8/'% aproveitamento mensal'!F24</f>
        <v>0.935483870967742</v>
      </c>
      <c r="G8" s="1" t="n">
        <f aca="false">'Dias com dados'!G8/'% aproveitamento mensal'!G24</f>
        <v>0.933333333333333</v>
      </c>
      <c r="H8" s="1" t="n">
        <f aca="false">'Dias com dados'!H8/'% aproveitamento mensal'!H24</f>
        <v>1</v>
      </c>
      <c r="I8" s="1" t="n">
        <f aca="false">'Dias com dados'!I8/'% aproveitamento mensal'!I24</f>
        <v>0.032258064516129</v>
      </c>
      <c r="J8" s="1" t="n">
        <f aca="false">'Dias com dados'!J8/'% aproveitamento mensal'!J24</f>
        <v>0</v>
      </c>
      <c r="K8" s="1" t="n">
        <f aca="false">'Dias com dados'!K8/'% aproveitamento mensal'!K24</f>
        <v>0</v>
      </c>
      <c r="L8" s="1" t="n">
        <f aca="false">'Dias com dados'!L8/'% aproveitamento mensal'!L24</f>
        <v>0</v>
      </c>
      <c r="M8" s="1" t="n">
        <f aca="false">'Dias com dados'!M8/'% aproveitamento mensal'!M24</f>
        <v>0</v>
      </c>
      <c r="N8" s="1" t="n">
        <f aca="false">AVERAGE(B8:M8)</f>
        <v>0.54791986687148</v>
      </c>
    </row>
    <row r="9" customFormat="false" ht="15" hidden="false" customHeight="false" outlineLevel="0" collapsed="false">
      <c r="A9" s="0" t="n">
        <v>2006</v>
      </c>
      <c r="B9" s="1" t="n">
        <f aca="false">'Dias com dados'!B9/'% aproveitamento mensal'!B24</f>
        <v>0</v>
      </c>
      <c r="C9" s="1" t="n">
        <f aca="false">'Dias com dados'!C9/'% aproveitamento mensal'!C24</f>
        <v>0</v>
      </c>
      <c r="D9" s="1" t="n">
        <f aca="false">'Dias com dados'!D9/'% aproveitamento mensal'!D24</f>
        <v>0</v>
      </c>
      <c r="E9" s="1" t="n">
        <f aca="false">'Dias com dados'!E9/'% aproveitamento mensal'!E24</f>
        <v>0</v>
      </c>
      <c r="F9" s="1" t="n">
        <f aca="false">'Dias com dados'!F9/'% aproveitamento mensal'!F24</f>
        <v>0</v>
      </c>
      <c r="G9" s="1" t="n">
        <f aca="false">'Dias com dados'!G9/'% aproveitamento mensal'!G24</f>
        <v>0.566666666666667</v>
      </c>
      <c r="H9" s="1" t="n">
        <f aca="false">'Dias com dados'!H9/'% aproveitamento mensal'!H24</f>
        <v>1</v>
      </c>
      <c r="I9" s="1" t="n">
        <f aca="false">'Dias com dados'!I9/'% aproveitamento mensal'!I24</f>
        <v>0.129032258064516</v>
      </c>
      <c r="J9" s="1" t="n">
        <f aca="false">'Dias com dados'!J9/'% aproveitamento mensal'!J24</f>
        <v>0.5</v>
      </c>
      <c r="K9" s="1" t="n">
        <f aca="false">'Dias com dados'!K9/'% aproveitamento mensal'!K24</f>
        <v>0.774193548387097</v>
      </c>
      <c r="L9" s="1" t="n">
        <f aca="false">'Dias com dados'!L9/'% aproveitamento mensal'!L24</f>
        <v>0.833333333333333</v>
      </c>
      <c r="M9" s="1" t="n">
        <f aca="false">'Dias com dados'!M9/'% aproveitamento mensal'!M24</f>
        <v>0.870967741935484</v>
      </c>
      <c r="N9" s="1" t="n">
        <f aca="false">AVERAGE(B9:M9)</f>
        <v>0.389516129032258</v>
      </c>
    </row>
    <row r="10" customFormat="false" ht="15" hidden="false" customHeight="false" outlineLevel="0" collapsed="false">
      <c r="A10" s="0" t="n">
        <v>2007</v>
      </c>
      <c r="B10" s="1" t="n">
        <f aca="false">'Dias com dados'!B10/'% aproveitamento mensal'!B24</f>
        <v>0.935483870967742</v>
      </c>
      <c r="C10" s="1" t="n">
        <f aca="false">'Dias com dados'!C10/'% aproveitamento mensal'!C24</f>
        <v>0.964285714285714</v>
      </c>
      <c r="D10" s="1" t="n">
        <f aca="false">'Dias com dados'!D10/'% aproveitamento mensal'!D24</f>
        <v>1</v>
      </c>
      <c r="E10" s="1" t="n">
        <f aca="false">'Dias com dados'!E10/'% aproveitamento mensal'!E24</f>
        <v>0.733333333333333</v>
      </c>
      <c r="F10" s="1" t="n">
        <f aca="false">'Dias com dados'!F10/'% aproveitamento mensal'!F24</f>
        <v>0.870967741935484</v>
      </c>
      <c r="G10" s="1" t="n">
        <f aca="false">'Dias com dados'!G10/'% aproveitamento mensal'!G24</f>
        <v>0.866666666666667</v>
      </c>
      <c r="H10" s="1" t="n">
        <f aca="false">'Dias com dados'!H10/'% aproveitamento mensal'!H24</f>
        <v>0.741935483870968</v>
      </c>
      <c r="I10" s="1" t="n">
        <f aca="false">'Dias com dados'!I10/'% aproveitamento mensal'!I24</f>
        <v>0.935483870967742</v>
      </c>
      <c r="J10" s="1" t="n">
        <f aca="false">'Dias com dados'!J10/'% aproveitamento mensal'!J24</f>
        <v>0.3</v>
      </c>
      <c r="K10" s="1" t="n">
        <f aca="false">'Dias com dados'!K10/'% aproveitamento mensal'!K24</f>
        <v>0.354838709677419</v>
      </c>
      <c r="L10" s="1" t="n">
        <f aca="false">'Dias com dados'!L10/'% aproveitamento mensal'!L24</f>
        <v>0.366666666666667</v>
      </c>
      <c r="M10" s="1" t="n">
        <f aca="false">'Dias com dados'!M10/'% aproveitamento mensal'!M24</f>
        <v>0.870967741935484</v>
      </c>
      <c r="N10" s="1" t="n">
        <f aca="false">AVERAGE(B10:M10)</f>
        <v>0.745052483358935</v>
      </c>
    </row>
    <row r="11" customFormat="false" ht="15" hidden="false" customHeight="false" outlineLevel="0" collapsed="false">
      <c r="A11" s="0" t="n">
        <v>2008</v>
      </c>
      <c r="B11" s="1" t="n">
        <f aca="false">'Dias com dados'!B11/'% aproveitamento mensal'!B24</f>
        <v>0.903225806451613</v>
      </c>
      <c r="C11" s="1" t="n">
        <f aca="false">'Dias com dados'!C11/'% aproveitamento mensal'!C24</f>
        <v>0.857142857142857</v>
      </c>
      <c r="D11" s="1" t="n">
        <f aca="false">'Dias com dados'!D11/'% aproveitamento mensal'!D24</f>
        <v>0.0645161290322581</v>
      </c>
      <c r="E11" s="1" t="n">
        <f aca="false">'Dias com dados'!E11/'% aproveitamento mensal'!E24</f>
        <v>0</v>
      </c>
      <c r="F11" s="1" t="n">
        <f aca="false">'Dias com dados'!F11/'% aproveitamento mensal'!F24</f>
        <v>0</v>
      </c>
      <c r="G11" s="1" t="n">
        <f aca="false">'Dias com dados'!G11/'% aproveitamento mensal'!G24</f>
        <v>0</v>
      </c>
      <c r="H11" s="1" t="n">
        <f aca="false">'Dias com dados'!H11/'% aproveitamento mensal'!H24</f>
        <v>0</v>
      </c>
      <c r="I11" s="1" t="n">
        <f aca="false">'Dias com dados'!I11/'% aproveitamento mensal'!I24</f>
        <v>0</v>
      </c>
      <c r="J11" s="1" t="n">
        <f aca="false">'Dias com dados'!J11/'% aproveitamento mensal'!J24</f>
        <v>0</v>
      </c>
      <c r="K11" s="1" t="n">
        <f aca="false">'Dias com dados'!K11/'% aproveitamento mensal'!K24</f>
        <v>0</v>
      </c>
      <c r="L11" s="1" t="n">
        <f aca="false">'Dias com dados'!L11/'% aproveitamento mensal'!L24</f>
        <v>0.533333333333333</v>
      </c>
      <c r="M11" s="1" t="n">
        <f aca="false">'Dias com dados'!M11/'% aproveitamento mensal'!M24</f>
        <v>0.774193548387097</v>
      </c>
      <c r="N11" s="1" t="n">
        <f aca="false">AVERAGE(B11:M11)</f>
        <v>0.261034306195596</v>
      </c>
    </row>
    <row r="12" customFormat="false" ht="15" hidden="false" customHeight="false" outlineLevel="0" collapsed="false">
      <c r="A12" s="0" t="n">
        <v>2009</v>
      </c>
      <c r="B12" s="1" t="n">
        <f aca="false">'Dias com dados'!B12/'% aproveitamento mensal'!B24</f>
        <v>0.838709677419355</v>
      </c>
      <c r="C12" s="1" t="n">
        <f aca="false">'Dias com dados'!C12/'% aproveitamento mensal'!C24</f>
        <v>0.607142857142857</v>
      </c>
      <c r="D12" s="1" t="n">
        <f aca="false">'Dias com dados'!D12/'% aproveitamento mensal'!D24</f>
        <v>0.806451612903226</v>
      </c>
      <c r="E12" s="1" t="n">
        <f aca="false">'Dias com dados'!E12/'% aproveitamento mensal'!E24</f>
        <v>0.733333333333333</v>
      </c>
      <c r="F12" s="1" t="n">
        <f aca="false">'Dias com dados'!F12/'% aproveitamento mensal'!F24</f>
        <v>0</v>
      </c>
      <c r="G12" s="1" t="n">
        <f aca="false">'Dias com dados'!G12/'% aproveitamento mensal'!G24</f>
        <v>0.6</v>
      </c>
      <c r="H12" s="1" t="n">
        <f aca="false">'Dias com dados'!H12/'% aproveitamento mensal'!H24</f>
        <v>0.806451612903226</v>
      </c>
      <c r="I12" s="1" t="n">
        <f aca="false">'Dias com dados'!I12/'% aproveitamento mensal'!I24</f>
        <v>0.451612903225806</v>
      </c>
      <c r="J12" s="1" t="n">
        <f aca="false">'Dias com dados'!J12/'% aproveitamento mensal'!J24</f>
        <v>0.4</v>
      </c>
      <c r="K12" s="1" t="n">
        <f aca="false">'Dias com dados'!K12/'% aproveitamento mensal'!K24</f>
        <v>0.903225806451613</v>
      </c>
      <c r="L12" s="1" t="n">
        <f aca="false">'Dias com dados'!L12/'% aproveitamento mensal'!L24</f>
        <v>1</v>
      </c>
      <c r="M12" s="1" t="n">
        <f aca="false">'Dias com dados'!M12/'% aproveitamento mensal'!M24</f>
        <v>0.967741935483871</v>
      </c>
      <c r="N12" s="1" t="n">
        <f aca="false">AVERAGE(B12:M12)</f>
        <v>0.676222478238607</v>
      </c>
    </row>
    <row r="13" customFormat="false" ht="15" hidden="false" customHeight="false" outlineLevel="0" collapsed="false">
      <c r="A13" s="0" t="n">
        <v>2010</v>
      </c>
      <c r="B13" s="1" t="n">
        <f aca="false">'Dias com dados'!B13/'% aproveitamento mensal'!B24</f>
        <v>0.967741935483871</v>
      </c>
      <c r="C13" s="1" t="n">
        <f aca="false">'Dias com dados'!C13/'% aproveitamento mensal'!C24</f>
        <v>0.928571428571429</v>
      </c>
      <c r="D13" s="1" t="n">
        <f aca="false">'Dias com dados'!D13/'% aproveitamento mensal'!D24</f>
        <v>0.935483870967742</v>
      </c>
      <c r="E13" s="1" t="n">
        <f aca="false">'Dias com dados'!E13/'% aproveitamento mensal'!E24</f>
        <v>0.966666666666667</v>
      </c>
      <c r="F13" s="1" t="n">
        <f aca="false">'Dias com dados'!F13/'% aproveitamento mensal'!F24</f>
        <v>0.903225806451613</v>
      </c>
      <c r="G13" s="1" t="n">
        <f aca="false">'Dias com dados'!G13/'% aproveitamento mensal'!G24</f>
        <v>1</v>
      </c>
      <c r="H13" s="1" t="n">
        <f aca="false">'Dias com dados'!H13/'% aproveitamento mensal'!H24</f>
        <v>0.903225806451613</v>
      </c>
      <c r="I13" s="1" t="n">
        <f aca="false">'Dias com dados'!I13/'% aproveitamento mensal'!I24</f>
        <v>0.709677419354839</v>
      </c>
      <c r="J13" s="1" t="n">
        <f aca="false">'Dias com dados'!J13/'% aproveitamento mensal'!J24</f>
        <v>0.633333333333333</v>
      </c>
      <c r="K13" s="1" t="n">
        <f aca="false">'Dias com dados'!K13/'% aproveitamento mensal'!K24</f>
        <v>1</v>
      </c>
      <c r="L13" s="1" t="n">
        <f aca="false">'Dias com dados'!L13/'% aproveitamento mensal'!L24</f>
        <v>1</v>
      </c>
      <c r="M13" s="1" t="n">
        <f aca="false">'Dias com dados'!M13/'% aproveitamento mensal'!M24</f>
        <v>0.741935483870968</v>
      </c>
      <c r="N13" s="1" t="n">
        <f aca="false">AVERAGE(B13:M13)</f>
        <v>0.890821812596006</v>
      </c>
    </row>
    <row r="14" customFormat="false" ht="15" hidden="false" customHeight="false" outlineLevel="0" collapsed="false">
      <c r="A14" s="0" t="n">
        <v>2011</v>
      </c>
      <c r="B14" s="1" t="n">
        <f aca="false">'Dias com dados'!B14/'% aproveitamento mensal'!B24</f>
        <v>0.870967741935484</v>
      </c>
      <c r="C14" s="1" t="n">
        <f aca="false">'Dias com dados'!C14/'% aproveitamento mensal'!C24</f>
        <v>1</v>
      </c>
      <c r="D14" s="1" t="n">
        <f aca="false">'Dias com dados'!D14/'% aproveitamento mensal'!D24</f>
        <v>1</v>
      </c>
      <c r="E14" s="1" t="n">
        <f aca="false">'Dias com dados'!E14/'% aproveitamento mensal'!E24</f>
        <v>1</v>
      </c>
      <c r="F14" s="1" t="n">
        <f aca="false">'Dias com dados'!F14/'% aproveitamento mensal'!F24</f>
        <v>1</v>
      </c>
      <c r="G14" s="1" t="n">
        <f aca="false">'Dias com dados'!G14/'% aproveitamento mensal'!G24</f>
        <v>0.9</v>
      </c>
      <c r="H14" s="1" t="n">
        <f aca="false">'Dias com dados'!H14/'% aproveitamento mensal'!H24</f>
        <v>0.967741935483871</v>
      </c>
      <c r="I14" s="1" t="n">
        <f aca="false">'Dias com dados'!I14/'% aproveitamento mensal'!I24</f>
        <v>1</v>
      </c>
      <c r="J14" s="1" t="n">
        <f aca="false">'Dias com dados'!J14/'% aproveitamento mensal'!J24</f>
        <v>1</v>
      </c>
      <c r="K14" s="1" t="n">
        <f aca="false">'Dias com dados'!K14/'% aproveitamento mensal'!K24</f>
        <v>0.935483870967742</v>
      </c>
      <c r="L14" s="1" t="n">
        <f aca="false">'Dias com dados'!L14/'% aproveitamento mensal'!L24</f>
        <v>1</v>
      </c>
      <c r="M14" s="1" t="n">
        <f aca="false">'Dias com dados'!M14/'% aproveitamento mensal'!M24</f>
        <v>0.580645161290323</v>
      </c>
      <c r="N14" s="1" t="n">
        <f aca="false">AVERAGE(B14:M14)</f>
        <v>0.937903225806452</v>
      </c>
    </row>
    <row r="15" customFormat="false" ht="15" hidden="false" customHeight="false" outlineLevel="0" collapsed="false">
      <c r="A15" s="0" t="n">
        <v>2012</v>
      </c>
      <c r="B15" s="1" t="n">
        <f aca="false">'Dias com dados'!B15/'% aproveitamento mensal'!B24</f>
        <v>0.935483870967742</v>
      </c>
      <c r="C15" s="1" t="n">
        <v>1</v>
      </c>
      <c r="D15" s="1" t="n">
        <f aca="false">'Dias com dados'!D15/'% aproveitamento mensal'!D24</f>
        <v>1</v>
      </c>
      <c r="E15" s="1" t="n">
        <f aca="false">'Dias com dados'!E15/'% aproveitamento mensal'!E24</f>
        <v>1</v>
      </c>
      <c r="F15" s="1" t="n">
        <f aca="false">'Dias com dados'!F15/'% aproveitamento mensal'!F24</f>
        <v>1</v>
      </c>
      <c r="G15" s="1" t="n">
        <f aca="false">'Dias com dados'!G15/'% aproveitamento mensal'!G24</f>
        <v>1</v>
      </c>
      <c r="H15" s="1" t="n">
        <f aca="false">'Dias com dados'!H15/'% aproveitamento mensal'!H24</f>
        <v>0.967741935483871</v>
      </c>
      <c r="I15" s="1" t="n">
        <f aca="false">'Dias com dados'!I15/'% aproveitamento mensal'!I24</f>
        <v>1</v>
      </c>
      <c r="J15" s="1" t="n">
        <f aca="false">'Dias com dados'!J15/'% aproveitamento mensal'!J24</f>
        <v>0.9</v>
      </c>
      <c r="K15" s="1" t="n">
        <f aca="false">'Dias com dados'!K15/'% aproveitamento mensal'!K24</f>
        <v>1</v>
      </c>
      <c r="L15" s="1" t="n">
        <f aca="false">'Dias com dados'!L15/'% aproveitamento mensal'!L24</f>
        <v>1</v>
      </c>
      <c r="M15" s="1" t="n">
        <f aca="false">'Dias com dados'!M15/'% aproveitamento mensal'!M24</f>
        <v>1</v>
      </c>
      <c r="N15" s="1" t="n">
        <f aca="false">AVERAGE(B15:M15)</f>
        <v>0.983602150537634</v>
      </c>
    </row>
    <row r="16" customFormat="false" ht="15" hidden="false" customHeight="false" outlineLevel="0" collapsed="false">
      <c r="A16" s="0" t="n">
        <v>2013</v>
      </c>
      <c r="B16" s="1" t="n">
        <f aca="false">'Dias com dados'!B16/'% aproveitamento mensal'!B24</f>
        <v>1</v>
      </c>
      <c r="C16" s="1" t="n">
        <f aca="false">'Dias com dados'!C16/'% aproveitamento mensal'!C24</f>
        <v>1</v>
      </c>
      <c r="D16" s="1" t="n">
        <f aca="false">'Dias com dados'!D16/'% aproveitamento mensal'!D24</f>
        <v>1</v>
      </c>
      <c r="E16" s="1" t="n">
        <f aca="false">'Dias com dados'!E16/'% aproveitamento mensal'!E24</f>
        <v>1</v>
      </c>
      <c r="F16" s="1" t="n">
        <f aca="false">'Dias com dados'!F16/'% aproveitamento mensal'!F24</f>
        <v>1</v>
      </c>
      <c r="G16" s="1" t="n">
        <f aca="false">'Dias com dados'!G16/'% aproveitamento mensal'!G24</f>
        <v>1</v>
      </c>
      <c r="H16" s="1" t="n">
        <f aca="false">'Dias com dados'!H16/'% aproveitamento mensal'!H24</f>
        <v>1</v>
      </c>
      <c r="I16" s="1" t="n">
        <f aca="false">'Dias com dados'!I16/'% aproveitamento mensal'!I24</f>
        <v>1</v>
      </c>
      <c r="J16" s="1" t="n">
        <f aca="false">'Dias com dados'!J16/'% aproveitamento mensal'!J24</f>
        <v>1</v>
      </c>
      <c r="K16" s="1" t="n">
        <f aca="false">'Dias com dados'!K16/'% aproveitamento mensal'!K24</f>
        <v>1</v>
      </c>
      <c r="L16" s="1" t="n">
        <f aca="false">'Dias com dados'!L16/'% aproveitamento mensal'!L24</f>
        <v>1</v>
      </c>
      <c r="M16" s="1" t="n">
        <f aca="false">'Dias com dados'!M16/'% aproveitamento mensal'!M24</f>
        <v>0.741935483870968</v>
      </c>
      <c r="N16" s="1" t="n">
        <f aca="false">AVERAGE(B16:M16)</f>
        <v>0.978494623655914</v>
      </c>
    </row>
    <row r="17" customFormat="false" ht="15" hidden="false" customHeight="false" outlineLevel="0" collapsed="false">
      <c r="A17" s="0" t="n">
        <v>2014</v>
      </c>
      <c r="B17" s="1" t="n">
        <f aca="false">'Dias com dados'!B17/'% aproveitamento mensal'!B24</f>
        <v>0.967741935483871</v>
      </c>
      <c r="C17" s="1" t="n">
        <f aca="false">'Dias com dados'!C17/'% aproveitamento mensal'!C24</f>
        <v>1</v>
      </c>
      <c r="D17" s="1" t="n">
        <f aca="false">'Dias com dados'!D17/'% aproveitamento mensal'!D24</f>
        <v>1</v>
      </c>
      <c r="E17" s="1" t="n">
        <f aca="false">'Dias com dados'!E17/'% aproveitamento mensal'!E24</f>
        <v>1</v>
      </c>
      <c r="F17" s="1" t="n">
        <f aca="false">'Dias com dados'!F17/'% aproveitamento mensal'!F24</f>
        <v>1</v>
      </c>
      <c r="G17" s="1" t="n">
        <f aca="false">'Dias com dados'!G17/'% aproveitamento mensal'!G24</f>
        <v>1</v>
      </c>
      <c r="H17" s="1" t="n">
        <f aca="false">'Dias com dados'!H17/'% aproveitamento mensal'!H24</f>
        <v>1</v>
      </c>
      <c r="I17" s="1" t="n">
        <f aca="false">'Dias com dados'!I17/'% aproveitamento mensal'!I24</f>
        <v>0.935483870967742</v>
      </c>
      <c r="J17" s="1" t="n">
        <f aca="false">'Dias com dados'!J17/'% aproveitamento mensal'!J24</f>
        <v>0.9</v>
      </c>
      <c r="K17" s="1" t="n">
        <f aca="false">'Dias com dados'!K17/'% aproveitamento mensal'!K24</f>
        <v>0.838709677419355</v>
      </c>
      <c r="L17" s="1" t="n">
        <f aca="false">'Dias com dados'!L17/'% aproveitamento mensal'!L24</f>
        <v>0.9</v>
      </c>
      <c r="M17" s="1" t="n">
        <f aca="false">'Dias com dados'!M17/'% aproveitamento mensal'!M24</f>
        <v>0.709677419354839</v>
      </c>
      <c r="N17" s="1" t="n">
        <f aca="false">AVERAGE(B17:M17)</f>
        <v>0.937634408602151</v>
      </c>
    </row>
    <row r="18" customFormat="false" ht="15" hidden="false" customHeight="false" outlineLevel="0" collapsed="false">
      <c r="A18" s="0" t="n">
        <v>2015</v>
      </c>
      <c r="B18" s="1" t="n">
        <f aca="false">'Dias com dados'!B18/'% aproveitamento mensal'!B24</f>
        <v>0.903225806451613</v>
      </c>
      <c r="C18" s="1" t="n">
        <f aca="false">'Dias com dados'!C18/'% aproveitamento mensal'!C24</f>
        <v>0.178571428571429</v>
      </c>
      <c r="D18" s="1" t="n">
        <f aca="false">'Dias com dados'!D18/'% aproveitamento mensal'!D24</f>
        <v>0.741935483870968</v>
      </c>
      <c r="E18" s="1" t="n">
        <f aca="false">'Dias com dados'!E18/'% aproveitamento mensal'!E24</f>
        <v>0.5</v>
      </c>
      <c r="F18" s="1" t="n">
        <f aca="false">'Dias com dados'!F18/'% aproveitamento mensal'!F24</f>
        <v>0.967741935483871</v>
      </c>
      <c r="G18" s="1" t="n">
        <f aca="false">'Dias com dados'!G18/'% aproveitamento mensal'!G24</f>
        <v>0.933333333333333</v>
      </c>
      <c r="H18" s="1" t="n">
        <f aca="false">'Dias com dados'!H18/'% aproveitamento mensal'!H24</f>
        <v>0.709677419354839</v>
      </c>
      <c r="I18" s="1" t="n">
        <f aca="false">'Dias com dados'!I18/'% aproveitamento mensal'!I24</f>
        <v>0.870967741935484</v>
      </c>
      <c r="J18" s="1" t="n">
        <f aca="false">'Dias com dados'!J18/'% aproveitamento mensal'!J24</f>
        <v>0.966666666666667</v>
      </c>
      <c r="K18" s="1" t="n">
        <f aca="false">'Dias com dados'!K18/'% aproveitamento mensal'!K24</f>
        <v>1</v>
      </c>
      <c r="L18" s="1" t="n">
        <f aca="false">'Dias com dados'!L18/'% aproveitamento mensal'!L24</f>
        <v>0.966666666666667</v>
      </c>
      <c r="M18" s="1" t="n">
        <f aca="false">'Dias com dados'!M18/'% aproveitamento mensal'!M24</f>
        <v>1</v>
      </c>
      <c r="N18" s="1" t="n">
        <f aca="false">AVERAGE(B18:M18)</f>
        <v>0.811565540194573</v>
      </c>
    </row>
    <row r="19" customFormat="false" ht="15" hidden="false" customHeight="false" outlineLevel="0" collapsed="false">
      <c r="A19" s="0" t="n">
        <v>2016</v>
      </c>
      <c r="B19" s="1" t="n">
        <f aca="false">'Dias com dados'!B19/'% aproveitamento mensal'!B24</f>
        <v>0.967741935483871</v>
      </c>
      <c r="C19" s="1" t="n">
        <f aca="false">'Dias com dados'!C19/'% aproveitamento mensal'!C24</f>
        <v>0</v>
      </c>
      <c r="D19" s="1" t="n">
        <f aca="false">'Dias com dados'!D19/'% aproveitamento mensal'!D24</f>
        <v>0.451612903225806</v>
      </c>
      <c r="E19" s="1" t="n">
        <f aca="false">'Dias com dados'!E19/'% aproveitamento mensal'!E24</f>
        <v>0.7</v>
      </c>
      <c r="F19" s="1" t="n">
        <f aca="false">'Dias com dados'!F19/'% aproveitamento mensal'!F24</f>
        <v>0</v>
      </c>
      <c r="G19" s="1" t="n">
        <f aca="false">'Dias com dados'!G19/'% aproveitamento mensal'!G24</f>
        <v>0</v>
      </c>
      <c r="H19" s="1" t="n">
        <f aca="false">'Dias com dados'!H19/'% aproveitamento mensal'!H24</f>
        <v>0.0645161290322581</v>
      </c>
      <c r="I19" s="1" t="n">
        <f aca="false">'Dias com dados'!I19/'% aproveitamento mensal'!I24</f>
        <v>0.225806451612903</v>
      </c>
      <c r="J19" s="1" t="n">
        <f aca="false">'Dias com dados'!J19/'% aproveitamento mensal'!J24</f>
        <v>0</v>
      </c>
      <c r="K19" s="1" t="n">
        <f aca="false">'Dias com dados'!K19/'% aproveitamento mensal'!K24</f>
        <v>0.483870967741936</v>
      </c>
      <c r="L19" s="1" t="n">
        <f aca="false">'Dias com dados'!L19/'% aproveitamento mensal'!L24</f>
        <v>0.7</v>
      </c>
      <c r="M19" s="1" t="n">
        <f aca="false">'Dias com dados'!M19/'% aproveitamento mensal'!M24</f>
        <v>0.225806451612903</v>
      </c>
      <c r="N19" s="1" t="n">
        <f aca="false">AVERAGE(B19:M19)</f>
        <v>0.318279569892473</v>
      </c>
    </row>
    <row r="20" customFormat="false" ht="15" hidden="false" customHeight="false" outlineLevel="0" collapsed="false">
      <c r="A20" s="0" t="n">
        <v>2017</v>
      </c>
      <c r="B20" s="1" t="n">
        <f aca="false">'Dias com dados'!B20/'% aproveitamento mensal'!B24</f>
        <v>0</v>
      </c>
      <c r="C20" s="1" t="n">
        <f aca="false">'Dias com dados'!C20/'% aproveitamento mensal'!C24</f>
        <v>0</v>
      </c>
      <c r="D20" s="1" t="n">
        <f aca="false">'Dias com dados'!D20/'% aproveitamento mensal'!D24</f>
        <v>0</v>
      </c>
      <c r="E20" s="1" t="n">
        <f aca="false">'Dias com dados'!E20/'% aproveitamento mensal'!E24</f>
        <v>0</v>
      </c>
      <c r="F20" s="1" t="n">
        <f aca="false">'Dias com dados'!F20/'% aproveitamento mensal'!F24</f>
        <v>0</v>
      </c>
      <c r="G20" s="1" t="n">
        <f aca="false">'Dias com dados'!G20/'% aproveitamento mensal'!G24</f>
        <v>0.633333333333333</v>
      </c>
      <c r="H20" s="1" t="n">
        <f aca="false">'Dias com dados'!H20/'% aproveitamento mensal'!H24</f>
        <v>0.612903225806452</v>
      </c>
      <c r="I20" s="1" t="n">
        <f aca="false">'Dias com dados'!I20/'% aproveitamento mensal'!I24</f>
        <v>0.903225806451613</v>
      </c>
      <c r="J20" s="1" t="n">
        <f aca="false">'Dias com dados'!J20/'% aproveitamento mensal'!J24</f>
        <v>0.933333333333333</v>
      </c>
      <c r="K20" s="1" t="n">
        <f aca="false">'Dias com dados'!K20/'% aproveitamento mensal'!K24</f>
        <v>1</v>
      </c>
      <c r="L20" s="1" t="n">
        <f aca="false">'Dias com dados'!L20/'% aproveitamento mensal'!L24</f>
        <v>1</v>
      </c>
      <c r="M20" s="1" t="n">
        <f aca="false">'Dias com dados'!M20/'% aproveitamento mensal'!M24</f>
        <v>0.0645161290322581</v>
      </c>
      <c r="N20" s="1" t="n">
        <f aca="false">AVERAGE(B20:M20)</f>
        <v>0.428942652329749</v>
      </c>
    </row>
    <row r="21" customFormat="false" ht="15" hidden="false" customHeight="false" outlineLevel="0" collapsed="false">
      <c r="A21" s="0" t="n">
        <v>2018</v>
      </c>
      <c r="B21" s="1" t="n">
        <f aca="false">'Dias com dados'!B21/'% aproveitamento mensal'!B24</f>
        <v>0</v>
      </c>
      <c r="C21" s="1" t="n">
        <f aca="false">'Dias com dados'!C21/'% aproveitamento mensal'!C24</f>
        <v>0</v>
      </c>
      <c r="D21" s="1" t="n">
        <f aca="false">'Dias com dados'!D21/'% aproveitamento mensal'!D24</f>
        <v>0.580645161290323</v>
      </c>
      <c r="E21" s="1" t="n">
        <f aca="false">'Dias com dados'!E21/'% aproveitamento mensal'!E24</f>
        <v>1</v>
      </c>
      <c r="F21" s="1" t="n">
        <f aca="false">'Dias com dados'!F21/'% aproveitamento mensal'!F24</f>
        <v>0.967741935483871</v>
      </c>
      <c r="G21" s="1" t="n">
        <f aca="false">'Dias com dados'!G21/'% aproveitamento mensal'!G24</f>
        <v>1</v>
      </c>
      <c r="H21" s="1" t="n">
        <f aca="false">'Dias com dados'!H21/'% aproveitamento mensal'!H24</f>
        <v>1</v>
      </c>
      <c r="I21" s="1" t="n">
        <f aca="false">'Dias com dados'!I21/'% aproveitamento mensal'!I24</f>
        <v>0.967741935483871</v>
      </c>
      <c r="J21" s="1" t="n">
        <f aca="false">'Dias com dados'!J21/'% aproveitamento mensal'!J24</f>
        <v>0.733333333333333</v>
      </c>
      <c r="K21" s="1" t="n">
        <f aca="false">'Dias com dados'!K21/'% aproveitamento mensal'!K24</f>
        <v>1</v>
      </c>
      <c r="L21" s="1" t="n">
        <f aca="false">'Dias com dados'!L21/'% aproveitamento mensal'!L24</f>
        <v>0.9</v>
      </c>
      <c r="M21" s="1" t="n">
        <f aca="false">'Dias com dados'!M21/'% aproveitamento mensal'!M24</f>
        <v>0.741935483870968</v>
      </c>
      <c r="N21" s="1" t="n">
        <f aca="false">AVERAGE(B21:M21)</f>
        <v>0.74094982078853</v>
      </c>
    </row>
    <row r="22" customFormat="false" ht="15" hidden="false" customHeight="false" outlineLevel="0" collapsed="false">
      <c r="A22" s="0" t="n">
        <v>2019</v>
      </c>
      <c r="B22" s="1" t="n">
        <f aca="false">'Dias com dados'!B22/'% aproveitamento mensal'!B24</f>
        <v>0.483870967741936</v>
      </c>
      <c r="C22" s="1" t="n">
        <f aca="false">'Dias com dados'!C22/'% aproveitamento mensal'!C24</f>
        <v>0</v>
      </c>
      <c r="D22" s="1" t="n">
        <f aca="false">'Dias com dados'!D22/'% aproveitamento mensal'!D24</f>
        <v>0.548387096774194</v>
      </c>
      <c r="E22" s="1" t="n">
        <f aca="false">'Dias com dados'!E22/'% aproveitamento mensal'!E24</f>
        <v>0.966666666666667</v>
      </c>
      <c r="F22" s="1" t="n">
        <f aca="false">'Dias com dados'!F22/'% aproveitamento mensal'!F24</f>
        <v>0.935483870967742</v>
      </c>
      <c r="G22" s="1" t="n">
        <f aca="false">'Dias com dados'!G22/'% aproveitamento mensal'!G24</f>
        <v>1</v>
      </c>
      <c r="H22" s="1" t="n">
        <f aca="false">'Dias com dados'!H22/'% aproveitamento mensal'!H24</f>
        <v>1</v>
      </c>
      <c r="I22" s="1" t="n">
        <f aca="false">'Dias com dados'!I22/'% aproveitamento mensal'!I24</f>
        <v>1</v>
      </c>
      <c r="J22" s="1" t="n">
        <f aca="false">'Dias com dados'!J22/'% aproveitamento mensal'!J24</f>
        <v>1</v>
      </c>
      <c r="K22" s="1" t="n">
        <f aca="false">'Dias com dados'!K22/'% aproveitamento mensal'!K24</f>
        <v>0.935483870967742</v>
      </c>
      <c r="L22" s="1" t="n">
        <f aca="false">'Dias com dados'!L22/'% aproveitamento mensal'!L24</f>
        <v>1</v>
      </c>
      <c r="M22" s="1" t="n">
        <f aca="false">'Dias com dados'!M22/'% aproveitamento mensal'!M24</f>
        <v>0.838709677419355</v>
      </c>
      <c r="N22" s="1" t="n">
        <f aca="false">AVERAGE(B22:M22)</f>
        <v>0.80905017921147</v>
      </c>
    </row>
    <row r="23" customFormat="false" ht="15" hidden="false" customHeight="false" outlineLevel="0" collapsed="false">
      <c r="A23" s="0" t="s">
        <v>15</v>
      </c>
      <c r="B23" s="1" t="n">
        <f aca="false">AVERAGE(B2:B22)</f>
        <v>0.566820276497696</v>
      </c>
      <c r="C23" s="1" t="n">
        <f aca="false">AVERAGE(C2:C22)</f>
        <v>0.467687074829932</v>
      </c>
      <c r="D23" s="1" t="n">
        <f aca="false">AVERAGE(D2:D22)</f>
        <v>0.577572964669739</v>
      </c>
      <c r="E23" s="1" t="n">
        <f aca="false">AVERAGE(E2:E22)</f>
        <v>0.563492063492063</v>
      </c>
      <c r="F23" s="1" t="n">
        <f aca="false">AVERAGE(F2:F22)</f>
        <v>0.526881720430108</v>
      </c>
      <c r="G23" s="1" t="n">
        <f aca="false">AVERAGE(G2:G22)</f>
        <v>0.649206349206349</v>
      </c>
      <c r="H23" s="1" t="n">
        <f aca="false">AVERAGE(H2:H22)</f>
        <v>0.705069124423963</v>
      </c>
      <c r="I23" s="1" t="n">
        <f aca="false">AVERAGE(I2:I22)</f>
        <v>0.666666666666667</v>
      </c>
      <c r="J23" s="1" t="n">
        <f aca="false">AVERAGE(J2:J22)</f>
        <v>0.568253968253968</v>
      </c>
      <c r="K23" s="1" t="n">
        <f aca="false">AVERAGE(K2:K22)</f>
        <v>0.683563748079877</v>
      </c>
      <c r="L23" s="1" t="n">
        <f aca="false">AVERAGE(L2:L22)</f>
        <v>0.677777777777778</v>
      </c>
      <c r="M23" s="1" t="n">
        <f aca="false">AVERAGE(M2:M22)</f>
        <v>0.565284178187404</v>
      </c>
    </row>
    <row r="24" customFormat="false" ht="15" hidden="false" customHeight="false" outlineLevel="0" collapsed="false">
      <c r="A24" s="3" t="s">
        <v>16</v>
      </c>
      <c r="B24" s="3" t="n">
        <v>31</v>
      </c>
      <c r="C24" s="3" t="n">
        <v>28</v>
      </c>
      <c r="D24" s="3" t="n">
        <v>31</v>
      </c>
      <c r="E24" s="3" t="n">
        <v>30</v>
      </c>
      <c r="F24" s="3" t="n">
        <v>31</v>
      </c>
      <c r="G24" s="3" t="n">
        <v>30</v>
      </c>
      <c r="H24" s="3" t="n">
        <v>31</v>
      </c>
      <c r="I24" s="3" t="n">
        <v>31</v>
      </c>
      <c r="J24" s="3" t="n">
        <v>30</v>
      </c>
      <c r="K24" s="3" t="n">
        <v>31</v>
      </c>
      <c r="L24" s="3" t="n">
        <v>30</v>
      </c>
      <c r="M24" s="3" t="n">
        <v>31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2020-09-03T15:11:46Z</dcterms:created>
  <dc:creator>Myrna Y Kagohara</dc:creator>
  <dc:description/>
  <dc:language>pt-BR</dc:language>
  <cp:lastModifiedBy/>
  <dcterms:modified xsi:type="dcterms:W3CDTF">2022-01-21T08:29:17Z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